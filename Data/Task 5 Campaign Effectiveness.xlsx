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min\Downloads\New folder\"/>
    </mc:Choice>
  </mc:AlternateContent>
  <xr:revisionPtr revIDLastSave="0" documentId="13_ncr:1_{59338007-2295-446E-AD81-C43C19FBCD22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Campaign Data" sheetId="3" r:id="rId1"/>
    <sheet name="Post" sheetId="1" r:id="rId2"/>
    <sheet name="Engagment Summary" sheetId="2" r:id="rId3"/>
  </sheets>
  <definedNames>
    <definedName name="_xlnm._FilterDatabase" localSheetId="2" hidden="1">'Engagment Summary'!$A$1:$J$201</definedName>
    <definedName name="_xlnm._FilterDatabase" localSheetId="1" hidden="1">Post!$A$1:$P$302</definedName>
  </definedNames>
  <calcPr calcId="191029"/>
  <pivotCaches>
    <pivotCache cacheId="12" r:id="rId4"/>
    <pivotCache cacheId="13" r:id="rId5"/>
    <pivotCache cacheId="14" r:id="rId6"/>
    <pivotCache cacheId="15" r:id="rId7"/>
  </pivotCaches>
  <extLst>
    <ext uri="GoogleSheetsCustomDataVersion2">
      <go:sheetsCustomData xmlns:go="http://customooxmlschemas.google.com/" r:id="rId8" roundtripDataChecksum="gsBh9W7a48zZe43sKmwdG/98/HB9TUkO8zrb1W442d8="/>
    </ext>
  </extLst>
</workbook>
</file>

<file path=xl/calcChain.xml><?xml version="1.0" encoding="utf-8"?>
<calcChain xmlns="http://schemas.openxmlformats.org/spreadsheetml/2006/main">
  <c r="S2" i="1" l="1"/>
  <c r="E2" i="2"/>
  <c r="S3" i="1"/>
  <c r="W3" i="1"/>
  <c r="W4" i="1"/>
  <c r="W5" i="1"/>
  <c r="W2" i="1"/>
  <c r="E188" i="2"/>
  <c r="J1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J4" i="1"/>
  <c r="J3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2" i="1"/>
  <c r="I303" i="1" l="1"/>
  <c r="J3" i="2"/>
  <c r="S4" i="1"/>
  <c r="J4" i="2"/>
  <c r="S5" i="1"/>
  <c r="J5" i="2"/>
  <c r="S6" i="1"/>
  <c r="J6" i="2"/>
  <c r="S7" i="1"/>
  <c r="J7" i="2"/>
  <c r="S8" i="1"/>
  <c r="J8" i="2"/>
  <c r="S9" i="1"/>
  <c r="J9" i="2"/>
  <c r="S10" i="1"/>
  <c r="J10" i="2"/>
  <c r="S11" i="1"/>
  <c r="J11" i="2"/>
  <c r="S12" i="1"/>
  <c r="J12" i="2"/>
  <c r="S13" i="1"/>
  <c r="J13" i="2"/>
  <c r="J14" i="2"/>
  <c r="S14" i="1"/>
  <c r="J15" i="2"/>
  <c r="S15" i="1"/>
  <c r="J16" i="2"/>
  <c r="S16" i="1"/>
  <c r="J17" i="2"/>
  <c r="S17" i="1"/>
  <c r="J18" i="2"/>
  <c r="S18" i="1"/>
  <c r="J19" i="2"/>
  <c r="S19" i="1"/>
  <c r="S20" i="1"/>
  <c r="J20" i="2"/>
  <c r="S21" i="1"/>
  <c r="J21" i="2"/>
  <c r="S22" i="1"/>
  <c r="J22" i="2"/>
  <c r="S23" i="1"/>
  <c r="J23" i="2"/>
  <c r="S24" i="1"/>
  <c r="J24" i="2"/>
  <c r="S25" i="1"/>
  <c r="J25" i="2"/>
  <c r="S26" i="1"/>
  <c r="J26" i="2"/>
  <c r="J27" i="2"/>
  <c r="S27" i="1"/>
  <c r="S28" i="1"/>
  <c r="J28" i="2"/>
  <c r="J29" i="2"/>
  <c r="S29" i="1"/>
  <c r="S30" i="1"/>
  <c r="J30" i="2"/>
  <c r="J31" i="2"/>
  <c r="S31" i="1"/>
  <c r="S32" i="1"/>
  <c r="J32" i="2"/>
  <c r="J33" i="2"/>
  <c r="S33" i="1"/>
  <c r="S34" i="1"/>
  <c r="J34" i="2"/>
  <c r="J35" i="2"/>
  <c r="S35" i="1"/>
  <c r="S36" i="1"/>
  <c r="J36" i="2"/>
  <c r="J37" i="2"/>
  <c r="S37" i="1"/>
  <c r="J38" i="2"/>
  <c r="S38" i="1"/>
  <c r="J39" i="2"/>
  <c r="S39" i="1"/>
  <c r="J40" i="2"/>
  <c r="S40" i="1"/>
  <c r="J41" i="2"/>
  <c r="S41" i="1"/>
  <c r="J42" i="2"/>
  <c r="S42" i="1"/>
  <c r="J43" i="2"/>
  <c r="S43" i="1"/>
  <c r="J44" i="2"/>
  <c r="S44" i="1"/>
  <c r="J45" i="2"/>
  <c r="S45" i="1"/>
  <c r="S46" i="1"/>
  <c r="J46" i="2"/>
  <c r="J47" i="2"/>
  <c r="S47" i="1"/>
  <c r="J48" i="2"/>
  <c r="S48" i="1"/>
  <c r="S49" i="1"/>
  <c r="J49" i="2"/>
  <c r="S50" i="1"/>
  <c r="J50" i="2"/>
  <c r="J51" i="2"/>
  <c r="S51" i="1"/>
  <c r="S52" i="1"/>
  <c r="J52" i="2"/>
  <c r="J53" i="2"/>
  <c r="S53" i="1"/>
  <c r="S54" i="1"/>
  <c r="J54" i="2"/>
  <c r="S55" i="1"/>
  <c r="J55" i="2"/>
  <c r="J56" i="2"/>
  <c r="S56" i="1"/>
  <c r="S57" i="1"/>
  <c r="J57" i="2"/>
  <c r="S58" i="1"/>
  <c r="J58" i="2"/>
  <c r="S59" i="1"/>
  <c r="J59" i="2"/>
  <c r="S60" i="1"/>
  <c r="J60" i="2"/>
  <c r="J61" i="2"/>
  <c r="S61" i="1"/>
  <c r="J62" i="2"/>
  <c r="S62" i="1"/>
  <c r="S63" i="1"/>
  <c r="J63" i="2"/>
  <c r="J64" i="2"/>
  <c r="S64" i="1"/>
  <c r="S65" i="1"/>
  <c r="J65" i="2"/>
  <c r="S66" i="1"/>
  <c r="J66" i="2"/>
  <c r="S67" i="1"/>
  <c r="J67" i="2"/>
  <c r="J68" i="2"/>
  <c r="S68" i="1"/>
  <c r="S69" i="1"/>
  <c r="J69" i="2"/>
  <c r="J70" i="2"/>
  <c r="S70" i="1"/>
  <c r="S71" i="1"/>
  <c r="J71" i="2"/>
  <c r="J72" i="2"/>
  <c r="S72" i="1"/>
  <c r="S73" i="1"/>
  <c r="J73" i="2"/>
  <c r="S74" i="1"/>
  <c r="J74" i="2"/>
  <c r="S75" i="1"/>
  <c r="J75" i="2"/>
  <c r="S76" i="1"/>
  <c r="J76" i="2"/>
  <c r="S77" i="1"/>
  <c r="J77" i="2"/>
  <c r="S78" i="1"/>
  <c r="J78" i="2"/>
  <c r="S79" i="1"/>
  <c r="J79" i="2"/>
  <c r="J80" i="2"/>
  <c r="S80" i="1"/>
  <c r="J81" i="2"/>
  <c r="S81" i="1"/>
  <c r="J82" i="2"/>
  <c r="S82" i="1"/>
  <c r="S83" i="1"/>
  <c r="J83" i="2"/>
  <c r="J84" i="2"/>
  <c r="S84" i="1"/>
  <c r="S85" i="1"/>
  <c r="J85" i="2"/>
  <c r="J86" i="2"/>
  <c r="S86" i="1"/>
  <c r="S87" i="1"/>
  <c r="J87" i="2"/>
  <c r="S88" i="1"/>
  <c r="J88" i="2"/>
  <c r="J89" i="2"/>
  <c r="S89" i="1"/>
  <c r="S90" i="1"/>
  <c r="J90" i="2"/>
  <c r="J91" i="2"/>
  <c r="S91" i="1"/>
  <c r="J92" i="2"/>
  <c r="S92" i="1"/>
  <c r="S93" i="1"/>
  <c r="J93" i="2"/>
  <c r="J94" i="2"/>
  <c r="S94" i="1"/>
  <c r="S95" i="1"/>
  <c r="J95" i="2"/>
  <c r="J96" i="2"/>
  <c r="S96" i="1"/>
  <c r="S97" i="1"/>
  <c r="J97" i="2"/>
  <c r="J98" i="2"/>
  <c r="S98" i="1"/>
  <c r="J99" i="2"/>
  <c r="S99" i="1"/>
  <c r="J100" i="2"/>
  <c r="S100" i="1"/>
  <c r="J101" i="2"/>
  <c r="S101" i="1"/>
  <c r="S102" i="1"/>
  <c r="J102" i="2"/>
  <c r="J103" i="2"/>
  <c r="S103" i="1"/>
  <c r="S104" i="1"/>
  <c r="J104" i="2"/>
  <c r="J105" i="2"/>
  <c r="S105" i="1"/>
  <c r="S106" i="1"/>
  <c r="J106" i="2"/>
  <c r="S107" i="1"/>
  <c r="J107" i="2"/>
  <c r="S108" i="1"/>
  <c r="J108" i="2"/>
  <c r="J109" i="2"/>
  <c r="S109" i="1"/>
  <c r="S110" i="1"/>
  <c r="J110" i="2"/>
  <c r="J111" i="2"/>
  <c r="S111" i="1"/>
  <c r="S112" i="1"/>
  <c r="J112" i="2"/>
  <c r="S113" i="1"/>
  <c r="J113" i="2"/>
  <c r="S114" i="1"/>
  <c r="J114" i="2"/>
  <c r="J115" i="2"/>
  <c r="S115" i="1"/>
  <c r="S116" i="1"/>
  <c r="J116" i="2"/>
  <c r="J117" i="2"/>
  <c r="S117" i="1"/>
  <c r="S118" i="1"/>
  <c r="J118" i="2"/>
  <c r="J119" i="2"/>
  <c r="S119" i="1"/>
  <c r="S120" i="1"/>
  <c r="J120" i="2"/>
  <c r="J121" i="2"/>
  <c r="S121" i="1"/>
  <c r="S122" i="1"/>
  <c r="J122" i="2"/>
  <c r="J123" i="2"/>
  <c r="S123" i="1"/>
  <c r="S124" i="1"/>
  <c r="J124" i="2"/>
  <c r="S125" i="1"/>
  <c r="J125" i="2"/>
  <c r="S126" i="1"/>
  <c r="J126" i="2"/>
  <c r="S127" i="1"/>
  <c r="J127" i="2"/>
  <c r="S128" i="1"/>
  <c r="J128" i="2"/>
  <c r="J129" i="2"/>
  <c r="S129" i="1"/>
  <c r="S130" i="1"/>
  <c r="J130" i="2"/>
  <c r="S131" i="1"/>
  <c r="J131" i="2"/>
  <c r="S132" i="1"/>
  <c r="J132" i="2"/>
  <c r="S133" i="1"/>
  <c r="J133" i="2"/>
  <c r="S134" i="1"/>
  <c r="J134" i="2"/>
  <c r="S135" i="1"/>
  <c r="J135" i="2"/>
  <c r="S136" i="1"/>
  <c r="J136" i="2"/>
  <c r="J137" i="2"/>
  <c r="S137" i="1"/>
  <c r="J138" i="2"/>
  <c r="S138" i="1"/>
  <c r="J139" i="2"/>
  <c r="S139" i="1"/>
  <c r="J140" i="2"/>
  <c r="S140" i="1"/>
  <c r="J141" i="2"/>
  <c r="S141" i="1"/>
  <c r="J142" i="2"/>
  <c r="S142" i="1"/>
  <c r="J143" i="2"/>
  <c r="S143" i="1"/>
  <c r="J144" i="2"/>
  <c r="S144" i="1"/>
  <c r="J145" i="2"/>
  <c r="S145" i="1"/>
  <c r="J146" i="2"/>
  <c r="S146" i="1"/>
  <c r="J147" i="2"/>
  <c r="S147" i="1"/>
  <c r="J148" i="2"/>
  <c r="S148" i="1"/>
  <c r="J149" i="2"/>
  <c r="S149" i="1"/>
  <c r="J150" i="2"/>
  <c r="S150" i="1"/>
  <c r="J151" i="2"/>
  <c r="S151" i="1"/>
  <c r="J152" i="2"/>
  <c r="S152" i="1"/>
  <c r="S153" i="1"/>
  <c r="J153" i="2"/>
  <c r="S154" i="1"/>
  <c r="J154" i="2"/>
  <c r="S155" i="1"/>
  <c r="J155" i="2"/>
  <c r="S156" i="1"/>
  <c r="J156" i="2"/>
  <c r="J157" i="2"/>
  <c r="S157" i="1"/>
  <c r="J158" i="2"/>
  <c r="S158" i="1"/>
  <c r="J159" i="2"/>
  <c r="S159" i="1"/>
  <c r="J160" i="2"/>
  <c r="S160" i="1"/>
  <c r="S161" i="1"/>
  <c r="J161" i="2"/>
  <c r="S162" i="1"/>
  <c r="J162" i="2"/>
  <c r="S163" i="1"/>
  <c r="J163" i="2"/>
  <c r="S164" i="1"/>
  <c r="J164" i="2"/>
  <c r="S165" i="1"/>
  <c r="J165" i="2"/>
  <c r="J166" i="2"/>
  <c r="S166" i="1"/>
  <c r="J167" i="2"/>
  <c r="S167" i="1"/>
  <c r="J168" i="2"/>
  <c r="S168" i="1"/>
  <c r="J169" i="2"/>
  <c r="S169" i="1"/>
  <c r="J170" i="2"/>
  <c r="S170" i="1"/>
  <c r="J171" i="2"/>
  <c r="S171" i="1"/>
  <c r="J172" i="2"/>
  <c r="S172" i="1"/>
  <c r="J173" i="2"/>
  <c r="S173" i="1"/>
  <c r="J174" i="2"/>
  <c r="S174" i="1"/>
  <c r="J175" i="2"/>
  <c r="S175" i="1"/>
  <c r="J176" i="2"/>
  <c r="S176" i="1"/>
  <c r="J177" i="2"/>
  <c r="S177" i="1"/>
  <c r="S178" i="1"/>
  <c r="J178" i="2"/>
  <c r="J179" i="2"/>
  <c r="S179" i="1"/>
  <c r="J180" i="2"/>
  <c r="S180" i="1"/>
  <c r="S181" i="1"/>
  <c r="J181" i="2"/>
  <c r="J182" i="2"/>
  <c r="S182" i="1"/>
  <c r="S183" i="1"/>
  <c r="J183" i="2"/>
  <c r="S184" i="1"/>
  <c r="J184" i="2"/>
  <c r="S185" i="1"/>
  <c r="J185" i="2"/>
  <c r="S186" i="1"/>
  <c r="J186" i="2"/>
  <c r="J187" i="2"/>
  <c r="S187" i="1"/>
  <c r="S188" i="1"/>
  <c r="J188" i="2"/>
  <c r="J189" i="2"/>
  <c r="S189" i="1"/>
  <c r="S190" i="1"/>
  <c r="J190" i="2"/>
  <c r="S191" i="1"/>
  <c r="J191" i="2"/>
  <c r="J192" i="2"/>
  <c r="S192" i="1"/>
  <c r="S193" i="1"/>
  <c r="J193" i="2"/>
  <c r="J194" i="2"/>
  <c r="S194" i="1"/>
  <c r="S195" i="1"/>
  <c r="J195" i="2"/>
  <c r="J196" i="2"/>
  <c r="S196" i="1"/>
  <c r="S197" i="1"/>
  <c r="J197" i="2"/>
  <c r="S198" i="1"/>
  <c r="J198" i="2"/>
  <c r="S199" i="1"/>
  <c r="J199" i="2"/>
  <c r="S200" i="1"/>
  <c r="J200" i="2"/>
  <c r="S201" i="1"/>
  <c r="J201" i="2"/>
  <c r="J2" i="2"/>
</calcChain>
</file>

<file path=xl/sharedStrings.xml><?xml version="1.0" encoding="utf-8"?>
<sst xmlns="http://schemas.openxmlformats.org/spreadsheetml/2006/main" count="2253" uniqueCount="387">
  <si>
    <t>Post ID</t>
  </si>
  <si>
    <t>Platform</t>
  </si>
  <si>
    <t>Date</t>
  </si>
  <si>
    <t>Content Type</t>
  </si>
  <si>
    <t>Post Text</t>
  </si>
  <si>
    <t>Likes</t>
  </si>
  <si>
    <t>Shares</t>
  </si>
  <si>
    <t>Comments</t>
  </si>
  <si>
    <t>Impressions</t>
  </si>
  <si>
    <t>Reach</t>
  </si>
  <si>
    <t>Clicks</t>
  </si>
  <si>
    <t>Hashtags Used</t>
  </si>
  <si>
    <t>Campaign_Name</t>
  </si>
  <si>
    <t>P001</t>
  </si>
  <si>
    <t>Twitter</t>
  </si>
  <si>
    <t>Reel</t>
  </si>
  <si>
    <t>Explore the latest reel on Myntra! Trendy styles await.</t>
  </si>
  <si>
    <t>#MyntraSale</t>
  </si>
  <si>
    <t>FashionUpgrade</t>
  </si>
  <si>
    <t>P002</t>
  </si>
  <si>
    <t>Text</t>
  </si>
  <si>
    <t>Explore the latest text on Myntra! Trendy styles await.</t>
  </si>
  <si>
    <t>#MyntraFashion</t>
  </si>
  <si>
    <t>EndOfSeasonSale</t>
  </si>
  <si>
    <t>P003</t>
  </si>
  <si>
    <t>YouTube</t>
  </si>
  <si>
    <t>P004</t>
  </si>
  <si>
    <t>Instagram</t>
  </si>
  <si>
    <t>Story</t>
  </si>
  <si>
    <t>Explore the latest story on Myntra! Trendy styles await.</t>
  </si>
  <si>
    <t>P005</t>
  </si>
  <si>
    <t>MyntraFestiveEdit</t>
  </si>
  <si>
    <t>P006</t>
  </si>
  <si>
    <t>Facebook</t>
  </si>
  <si>
    <t>Carousel</t>
  </si>
  <si>
    <t>Explore the latest carousel on Myntra! Trendy styles await.</t>
  </si>
  <si>
    <t>#MyntraTrend</t>
  </si>
  <si>
    <t>P007</t>
  </si>
  <si>
    <t>P008</t>
  </si>
  <si>
    <t>Image</t>
  </si>
  <si>
    <t>Explore the latest image on Myntra! Trendy styles await.</t>
  </si>
  <si>
    <t>P009</t>
  </si>
  <si>
    <t>P010</t>
  </si>
  <si>
    <t>StyleRevolution</t>
  </si>
  <si>
    <t>P011</t>
  </si>
  <si>
    <t>#StyleWithMyntra</t>
  </si>
  <si>
    <t>P012</t>
  </si>
  <si>
    <t>P013</t>
  </si>
  <si>
    <t>P014</t>
  </si>
  <si>
    <t>P015</t>
  </si>
  <si>
    <t>Video</t>
  </si>
  <si>
    <t>Explore the latest video on Myntra! Trendy styles await.</t>
  </si>
  <si>
    <t>P016</t>
  </si>
  <si>
    <t>P017</t>
  </si>
  <si>
    <t>#FashionDeals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</si>
  <si>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</si>
  <si>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</si>
  <si>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</si>
  <si>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</si>
  <si>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</si>
  <si>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</si>
  <si>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</si>
  <si>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</si>
  <si>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</si>
  <si>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</si>
  <si>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</si>
  <si>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</si>
  <si>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</si>
  <si>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</si>
  <si>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</si>
  <si>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</si>
  <si>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</si>
  <si>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</si>
  <si>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</si>
  <si>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</si>
  <si>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</si>
  <si>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</si>
  <si>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</si>
  <si>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</si>
  <si>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</si>
  <si>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</si>
  <si>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</si>
  <si>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</si>
  <si>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</si>
  <si>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</si>
  <si>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</si>
  <si>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</si>
  <si>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</si>
  <si>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</si>
  <si>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</si>
  <si>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</si>
  <si>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</si>
  <si>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</si>
  <si>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</si>
  <si>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</si>
  <si>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</si>
  <si>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</si>
  <si>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</si>
  <si>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</si>
  <si>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</si>
  <si>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</si>
  <si>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</si>
  <si>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</si>
  <si>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</si>
  <si>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</si>
  <si>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</si>
  <si>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</si>
  <si>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</si>
  <si>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</si>
  <si>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</si>
  <si>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</si>
  <si>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</si>
  <si>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</si>
  <si>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</si>
  <si>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</si>
  <si>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</si>
  <si>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</si>
  <si>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</si>
  <si>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</si>
  <si>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</si>
  <si>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P083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</si>
  <si>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</si>
  <si>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</si>
  <si>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</si>
  <si>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</si>
  <si>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</si>
  <si>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</si>
  <si>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</si>
  <si>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</si>
  <si>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</si>
  <si>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</si>
  <si>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</si>
  <si>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</si>
  <si>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</si>
  <si>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</si>
  <si>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</si>
  <si>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</si>
  <si>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</si>
  <si>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</si>
  <si>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</si>
  <si>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</si>
  <si>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</si>
  <si>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</si>
  <si>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</si>
  <si>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</si>
  <si>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</si>
  <si>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</si>
  <si>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</si>
  <si>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</si>
  <si>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</si>
  <si>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</si>
  <si>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</si>
  <si>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</si>
  <si>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</si>
  <si>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</si>
  <si>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</si>
  <si>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</si>
  <si>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</si>
  <si>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</si>
  <si>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</si>
  <si>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</si>
  <si>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</si>
  <si>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</si>
  <si>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</si>
  <si>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</si>
  <si>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</si>
  <si>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</si>
  <si>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</si>
  <si>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</si>
  <si>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</si>
  <si>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</si>
  <si>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</si>
  <si>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</si>
  <si>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</si>
  <si>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</si>
  <si>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</si>
  <si>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</si>
  <si>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</si>
  <si>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</si>
  <si>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</si>
  <si>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</si>
  <si>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</si>
  <si>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</si>
  <si>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</si>
  <si>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</si>
  <si>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</si>
  <si>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</si>
  <si>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</si>
  <si>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</si>
  <si>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</si>
  <si>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</si>
  <si>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</si>
  <si>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</si>
  <si>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</si>
  <si>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</si>
  <si>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</si>
  <si>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P159</t>
  </si>
  <si>
    <t>P160</t>
  </si>
  <si>
    <t>P161</t>
  </si>
  <si>
    <t>P162</t>
  </si>
  <si>
    <t>P163</t>
  </si>
  <si>
    <t>P164</t>
  </si>
  <si>
    <t>P165</t>
  </si>
  <si>
    <t>P166</t>
  </si>
  <si>
    <t>P167</t>
  </si>
  <si>
    <t>P168</t>
  </si>
  <si>
    <t>P169</t>
  </si>
  <si>
    <t>P170</t>
  </si>
  <si>
    <t>P171</t>
  </si>
  <si>
    <t>P172</t>
  </si>
  <si>
    <t>P173</t>
  </si>
  <si>
    <t>P174</t>
  </si>
  <si>
    <t>P175</t>
  </si>
  <si>
    <t>P176</t>
  </si>
  <si>
    <t>P177</t>
  </si>
  <si>
    <t>P178</t>
  </si>
  <si>
    <t>P179</t>
  </si>
  <si>
    <t>P180</t>
  </si>
  <si>
    <t>P181</t>
  </si>
  <si>
    <t>P182</t>
  </si>
  <si>
    <t>P183</t>
  </si>
  <si>
    <t>P184</t>
  </si>
  <si>
    <t>P185</t>
  </si>
  <si>
    <t>P186</t>
  </si>
  <si>
    <t>P187</t>
  </si>
  <si>
    <t>P188</t>
  </si>
  <si>
    <t>P189</t>
  </si>
  <si>
    <t>P190</t>
  </si>
  <si>
    <t>P191</t>
  </si>
  <si>
    <t>P192</t>
  </si>
  <si>
    <t>P193</t>
  </si>
  <si>
    <t>P194</t>
  </si>
  <si>
    <t>P195</t>
  </si>
  <si>
    <t>P196</t>
  </si>
  <si>
    <t>P197</t>
  </si>
  <si>
    <t>P198</t>
  </si>
  <si>
    <t>P199</t>
  </si>
  <si>
    <t>P200</t>
  </si>
  <si>
    <t>P201</t>
  </si>
  <si>
    <t>P202</t>
  </si>
  <si>
    <t>P203</t>
  </si>
  <si>
    <t>P204</t>
  </si>
  <si>
    <t>P205</t>
  </si>
  <si>
    <t>P206</t>
  </si>
  <si>
    <t>P207</t>
  </si>
  <si>
    <t>P208</t>
  </si>
  <si>
    <t>P209</t>
  </si>
  <si>
    <t>P210</t>
  </si>
  <si>
    <t>P211</t>
  </si>
  <si>
    <t>P212</t>
  </si>
  <si>
    <t>P213</t>
  </si>
  <si>
    <t>P214</t>
  </si>
  <si>
    <t>P215</t>
  </si>
  <si>
    <t>P216</t>
  </si>
  <si>
    <t>P217</t>
  </si>
  <si>
    <t>P218</t>
  </si>
  <si>
    <t>P219</t>
  </si>
  <si>
    <t>P220</t>
  </si>
  <si>
    <t>P221</t>
  </si>
  <si>
    <t>P222</t>
  </si>
  <si>
    <t>P223</t>
  </si>
  <si>
    <t>P224</t>
  </si>
  <si>
    <t>P225</t>
  </si>
  <si>
    <t>P226</t>
  </si>
  <si>
    <t>P227</t>
  </si>
  <si>
    <t>P228</t>
  </si>
  <si>
    <t>P229</t>
  </si>
  <si>
    <t>P230</t>
  </si>
  <si>
    <t>P231</t>
  </si>
  <si>
    <t>P232</t>
  </si>
  <si>
    <t>P233</t>
  </si>
  <si>
    <t>P234</t>
  </si>
  <si>
    <t>P235</t>
  </si>
  <si>
    <t>P236</t>
  </si>
  <si>
    <t>P237</t>
  </si>
  <si>
    <t>P238</t>
  </si>
  <si>
    <t>P239</t>
  </si>
  <si>
    <t>P240</t>
  </si>
  <si>
    <t>P241</t>
  </si>
  <si>
    <t>P242</t>
  </si>
  <si>
    <t>P243</t>
  </si>
  <si>
    <t>P244</t>
  </si>
  <si>
    <t>P245</t>
  </si>
  <si>
    <t>P246</t>
  </si>
  <si>
    <t>P247</t>
  </si>
  <si>
    <t>P248</t>
  </si>
  <si>
    <t>P249</t>
  </si>
  <si>
    <t>P250</t>
  </si>
  <si>
    <t>P251</t>
  </si>
  <si>
    <t>P252</t>
  </si>
  <si>
    <t>P253</t>
  </si>
  <si>
    <t>P254</t>
  </si>
  <si>
    <t>P255</t>
  </si>
  <si>
    <t>P256</t>
  </si>
  <si>
    <t>P257</t>
  </si>
  <si>
    <t>P258</t>
  </si>
  <si>
    <t>P259</t>
  </si>
  <si>
    <t>P260</t>
  </si>
  <si>
    <t>P261</t>
  </si>
  <si>
    <t>P262</t>
  </si>
  <si>
    <t>P263</t>
  </si>
  <si>
    <t>P264</t>
  </si>
  <si>
    <t>P265</t>
  </si>
  <si>
    <t>P266</t>
  </si>
  <si>
    <t>P267</t>
  </si>
  <si>
    <t>P268</t>
  </si>
  <si>
    <t>P269</t>
  </si>
  <si>
    <t>P270</t>
  </si>
  <si>
    <t>P271</t>
  </si>
  <si>
    <t>P272</t>
  </si>
  <si>
    <t>P273</t>
  </si>
  <si>
    <t>P274</t>
  </si>
  <si>
    <t>P275</t>
  </si>
  <si>
    <t>P276</t>
  </si>
  <si>
    <t>P277</t>
  </si>
  <si>
    <t>P278</t>
  </si>
  <si>
    <t>P279</t>
  </si>
  <si>
    <t>P280</t>
  </si>
  <si>
    <t>P281</t>
  </si>
  <si>
    <t>P282</t>
  </si>
  <si>
    <t>P283</t>
  </si>
  <si>
    <t>P284</t>
  </si>
  <si>
    <t>P285</t>
  </si>
  <si>
    <t>P286</t>
  </si>
  <si>
    <t>P287</t>
  </si>
  <si>
    <t>P288</t>
  </si>
  <si>
    <t>P289</t>
  </si>
  <si>
    <t>P290</t>
  </si>
  <si>
    <t>P291</t>
  </si>
  <si>
    <t>P292</t>
  </si>
  <si>
    <t>P293</t>
  </si>
  <si>
    <t>P294</t>
  </si>
  <si>
    <t>P295</t>
  </si>
  <si>
    <t>P296</t>
  </si>
  <si>
    <t>P297</t>
  </si>
  <si>
    <t>P298</t>
  </si>
  <si>
    <t>P299</t>
  </si>
  <si>
    <t>P300</t>
  </si>
  <si>
    <t>Week_Start_Date</t>
  </si>
  <si>
    <t>New_Followers</t>
  </si>
  <si>
    <t>Unfollows</t>
  </si>
  <si>
    <t>Total_Followers</t>
  </si>
  <si>
    <t>Engagement_Rate</t>
  </si>
  <si>
    <t>Ad_Spend</t>
  </si>
  <si>
    <t>Start_Date</t>
  </si>
  <si>
    <t>End_Date</t>
  </si>
  <si>
    <t>Objective</t>
  </si>
  <si>
    <t>Total_Budget</t>
  </si>
  <si>
    <t>Target_Platforms</t>
  </si>
  <si>
    <t>Seasonal Clearance Promotion</t>
  </si>
  <si>
    <t>Instagram,Facebook</t>
  </si>
  <si>
    <t>Customer Engagement</t>
  </si>
  <si>
    <t>Instagram,YouTube</t>
  </si>
  <si>
    <t>Festive Collection Launch</t>
  </si>
  <si>
    <t>Facebook,Instagram</t>
  </si>
  <si>
    <t>Brand Awareness &amp; Growth</t>
  </si>
  <si>
    <t>Instagram,Twitter</t>
  </si>
  <si>
    <t>Hashtags Used 2</t>
  </si>
  <si>
    <t>Engagement</t>
  </si>
  <si>
    <t>Engagement Average</t>
  </si>
  <si>
    <t>Row Labels</t>
  </si>
  <si>
    <t>Grand Total</t>
  </si>
  <si>
    <t>Net_Growth</t>
  </si>
  <si>
    <t>Sum of Net_Growth</t>
  </si>
  <si>
    <t>growth rate</t>
  </si>
  <si>
    <t>Sum of Likes</t>
  </si>
  <si>
    <t>Sum of Impressions</t>
  </si>
  <si>
    <t>Sum of Clicks</t>
  </si>
  <si>
    <t>Average of Clicks2</t>
  </si>
  <si>
    <t>Average of Impressions2</t>
  </si>
  <si>
    <t>Average of Likes2</t>
  </si>
  <si>
    <t>ROI</t>
  </si>
  <si>
    <t>during campign</t>
  </si>
  <si>
    <t>Before campign</t>
  </si>
  <si>
    <t>uplift</t>
  </si>
  <si>
    <t>Sum of during campign</t>
  </si>
  <si>
    <t>Sum of Before campign</t>
  </si>
  <si>
    <t>Sum of uplift</t>
  </si>
  <si>
    <t>Average of uplift2</t>
  </si>
  <si>
    <t>Average of Before campign2</t>
  </si>
  <si>
    <t>Average of during campign2</t>
  </si>
  <si>
    <t>Sum of Ad_Spend</t>
  </si>
  <si>
    <t>Sum of Field1</t>
  </si>
  <si>
    <t>Total &amp; Average Impressions, Likes, Clicks per Campaign.</t>
  </si>
  <si>
    <t xml:space="preserve">Engagement uplift during vs. before campaigns </t>
  </si>
  <si>
    <t>Which campaign had the highest ROI</t>
  </si>
  <si>
    <t>Which campaign drove the strongest follower growth?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</si>
</sst>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 * #,##0.0_ ;_ * \-#,##0.0_ ;_ * &quot;-&quot;??_ ;_ @_ "/>
    <numFmt numFmtId="165" formatCode="_ [$₹-4009]\ * #,##0.00_ ;_ [$₹-4009]\ * \-#,##0.00_ ;_ [$₹-4009]\ * &quot;-&quot;??_ ;_ @_ "/>
    <numFmt numFmtId="166" formatCode="_ * #,##0.000_ ;_ * \-#,##0.000_ ;_ * &quot;-&quot;??_ ;_ @_ "/>
  </numFmts>
  <fonts count="1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20"/>
      <color theme="9" tint="-0.249977111117893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22"/>
      <color theme="9" tint="-0.249977111117893"/>
      <name val="Calibri"/>
      <family val="2"/>
      <scheme val="minor"/>
    </font>
    <font>
      <sz val="24"/>
      <color theme="9" tint="-0.249977111117893"/>
      <name val="Calibri"/>
      <family val="2"/>
      <scheme val="minor"/>
    </font>
    <font>
      <sz val="16"/>
      <color theme="9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3">
    <xf numFmtId="0" fontId="0" fillId="0" borderId="0"/>
    <xf numFmtId="43" fontId="6" fillId="0" borderId="0" applyFont="0" applyFill="0" applyBorder="0" applyAlignment="0" applyProtection="0"/>
    <xf numFmtId="9" fontId="7" fillId="0" borderId="0" applyFont="0" applyFill="0" applyBorder="0" applyAlignment="0" applyProtection="0"/>
  </cellStyleXfs>
  <cellXfs count="46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14" fontId="4" fillId="0" borderId="0" xfId="0" applyNumberFormat="1" applyFont="1"/>
    <xf numFmtId="0" fontId="4" fillId="0" borderId="2" xfId="0" applyFont="1" applyBorder="1" applyAlignment="1">
      <alignment wrapText="1"/>
    </xf>
    <xf numFmtId="14" fontId="4" fillId="0" borderId="2" xfId="0" applyNumberFormat="1" applyFont="1" applyBorder="1" applyAlignment="1">
      <alignment wrapText="1"/>
    </xf>
    <xf numFmtId="0" fontId="4" fillId="0" borderId="2" xfId="0" applyFont="1" applyBorder="1" applyAlignment="1">
      <alignment horizontal="right" wrapText="1"/>
    </xf>
    <xf numFmtId="0" fontId="5" fillId="0" borderId="2" xfId="0" applyFont="1" applyBorder="1" applyAlignment="1">
      <alignment wrapText="1"/>
    </xf>
    <xf numFmtId="14" fontId="5" fillId="0" borderId="2" xfId="0" applyNumberFormat="1" applyFont="1" applyBorder="1" applyAlignment="1">
      <alignment horizontal="right" wrapText="1"/>
    </xf>
    <xf numFmtId="0" fontId="5" fillId="0" borderId="2" xfId="0" applyFont="1" applyBorder="1" applyAlignment="1">
      <alignment horizontal="right" wrapText="1"/>
    </xf>
    <xf numFmtId="0" fontId="5" fillId="0" borderId="2" xfId="0" applyFont="1" applyBorder="1" applyAlignment="1">
      <alignment vertical="center"/>
    </xf>
    <xf numFmtId="14" fontId="2" fillId="0" borderId="1" xfId="0" applyNumberFormat="1" applyFont="1" applyBorder="1" applyAlignment="1">
      <alignment horizontal="center" vertical="top"/>
    </xf>
    <xf numFmtId="14" fontId="3" fillId="0" borderId="0" xfId="0" applyNumberFormat="1" applyFont="1"/>
    <xf numFmtId="14" fontId="0" fillId="0" borderId="0" xfId="0" applyNumberFormat="1"/>
    <xf numFmtId="164" fontId="2" fillId="0" borderId="1" xfId="1" applyNumberFormat="1" applyFont="1" applyBorder="1" applyAlignment="1">
      <alignment horizontal="center" vertical="top"/>
    </xf>
    <xf numFmtId="164" fontId="3" fillId="0" borderId="0" xfId="1" applyNumberFormat="1" applyFont="1"/>
    <xf numFmtId="164" fontId="0" fillId="0" borderId="0" xfId="1" applyNumberFormat="1" applyFont="1"/>
    <xf numFmtId="10" fontId="3" fillId="0" borderId="0" xfId="2" applyNumberFormat="1" applyFont="1"/>
    <xf numFmtId="0" fontId="0" fillId="0" borderId="0" xfId="0" pivotButton="1"/>
    <xf numFmtId="0" fontId="0" fillId="0" borderId="0" xfId="0" applyAlignment="1">
      <alignment horizontal="left"/>
    </xf>
    <xf numFmtId="165" fontId="3" fillId="0" borderId="0" xfId="1" applyNumberFormat="1" applyFont="1"/>
    <xf numFmtId="165" fontId="0" fillId="0" borderId="0" xfId="1" applyNumberFormat="1" applyFont="1"/>
    <xf numFmtId="164" fontId="1" fillId="0" borderId="0" xfId="1" applyNumberFormat="1" applyFont="1"/>
    <xf numFmtId="10" fontId="3" fillId="0" borderId="0" xfId="1" applyNumberFormat="1" applyFont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0" xfId="0" pivotButton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2" fillId="0" borderId="0" xfId="0" applyFont="1" applyAlignment="1">
      <alignment horizontal="center" vertical="top"/>
    </xf>
    <xf numFmtId="9" fontId="0" fillId="0" borderId="0" xfId="2" applyFont="1"/>
    <xf numFmtId="166" fontId="0" fillId="0" borderId="0" xfId="1" applyNumberFormat="1" applyFont="1"/>
    <xf numFmtId="43" fontId="0" fillId="0" borderId="0" xfId="0" applyNumberFormat="1"/>
    <xf numFmtId="9" fontId="0" fillId="0" borderId="0" xfId="0" applyNumberForma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</cellXfs>
  <cellStyles count="3">
    <cellStyle name="Comma" xfId="1" builtinId="3"/>
    <cellStyle name="Normal" xfId="0" builtinId="0"/>
    <cellStyle name="Percent" xfId="2" builtinId="5"/>
  </cellStyles>
  <dxfs count="4"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4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2.xml"/><Relationship Id="rId10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5 Campaign Effectiveness.xlsx]Post!PivotTable79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113648293963256"/>
          <c:y val="0.14249781277340332"/>
          <c:w val="0.51136220472440941"/>
          <c:h val="0.514582968795567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Post!$W$67</c:f>
              <c:strCache>
                <c:ptCount val="1"/>
                <c:pt idx="0">
                  <c:v>Sum of during campign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Post!$V$68:$V$72</c:f>
              <c:strCache>
                <c:ptCount val="4"/>
                <c:pt idx="0">
                  <c:v>EndOfSeasonSale</c:v>
                </c:pt>
                <c:pt idx="1">
                  <c:v>FashionUpgrade</c:v>
                </c:pt>
                <c:pt idx="2">
                  <c:v>MyntraFestiveEdit</c:v>
                </c:pt>
                <c:pt idx="3">
                  <c:v>StyleRevolution</c:v>
                </c:pt>
              </c:strCache>
            </c:strRef>
          </c:cat>
          <c:val>
            <c:numRef>
              <c:f>Post!$W$68:$W$72</c:f>
              <c:numCache>
                <c:formatCode>General</c:formatCode>
                <c:ptCount val="4"/>
                <c:pt idx="0">
                  <c:v>20185</c:v>
                </c:pt>
                <c:pt idx="1">
                  <c:v>29029</c:v>
                </c:pt>
                <c:pt idx="2">
                  <c:v>25499</c:v>
                </c:pt>
                <c:pt idx="3">
                  <c:v>16716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33-407E-B298-76E296B08487}"/>
            </c:ext>
          </c:extLst>
        </c:ser>
        <c:ser>
          <c:idx val="1"/>
          <c:order val="1"/>
          <c:tx>
            <c:strRef>
              <c:f>Post!$X$67</c:f>
              <c:strCache>
                <c:ptCount val="1"/>
                <c:pt idx="0">
                  <c:v>Sum of Before campign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Post!$V$68:$V$72</c:f>
              <c:strCache>
                <c:ptCount val="4"/>
                <c:pt idx="0">
                  <c:v>EndOfSeasonSale</c:v>
                </c:pt>
                <c:pt idx="1">
                  <c:v>FashionUpgrade</c:v>
                </c:pt>
                <c:pt idx="2">
                  <c:v>MyntraFestiveEdit</c:v>
                </c:pt>
                <c:pt idx="3">
                  <c:v>StyleRevolution</c:v>
                </c:pt>
              </c:strCache>
            </c:strRef>
          </c:cat>
          <c:val>
            <c:numRef>
              <c:f>Post!$X$68:$X$72</c:f>
              <c:numCache>
                <c:formatCode>General</c:formatCode>
                <c:ptCount val="4"/>
                <c:pt idx="0">
                  <c:v>18337</c:v>
                </c:pt>
                <c:pt idx="1">
                  <c:v>67773</c:v>
                </c:pt>
                <c:pt idx="2">
                  <c:v>95022</c:v>
                </c:pt>
                <c:pt idx="3">
                  <c:v>133833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33-407E-B298-76E296B08487}"/>
            </c:ext>
          </c:extLst>
        </c:ser>
        <c:ser>
          <c:idx val="2"/>
          <c:order val="2"/>
          <c:tx>
            <c:strRef>
              <c:f>Post!$Y$67</c:f>
              <c:strCache>
                <c:ptCount val="1"/>
                <c:pt idx="0">
                  <c:v>Sum of uplift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Post!$V$68:$V$72</c:f>
              <c:strCache>
                <c:ptCount val="4"/>
                <c:pt idx="0">
                  <c:v>EndOfSeasonSale</c:v>
                </c:pt>
                <c:pt idx="1">
                  <c:v>FashionUpgrade</c:v>
                </c:pt>
                <c:pt idx="2">
                  <c:v>MyntraFestiveEdit</c:v>
                </c:pt>
                <c:pt idx="3">
                  <c:v>StyleRevolution</c:v>
                </c:pt>
              </c:strCache>
            </c:strRef>
          </c:cat>
          <c:val>
            <c:numRef>
              <c:f>Post!$Y$68:$Y$72</c:f>
              <c:numCache>
                <c:formatCode>0%</c:formatCode>
                <c:ptCount val="4"/>
                <c:pt idx="0">
                  <c:v>0.10077984403119376</c:v>
                </c:pt>
                <c:pt idx="1">
                  <c:v>-0.57167308515190418</c:v>
                </c:pt>
                <c:pt idx="2">
                  <c:v>-0.73165161752015317</c:v>
                </c:pt>
                <c:pt idx="3">
                  <c:v>-0.87509806998273965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033-407E-B298-76E296B084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64501807"/>
        <c:axId val="1864502287"/>
      </c:barChart>
      <c:lineChart>
        <c:grouping val="standard"/>
        <c:varyColors val="0"/>
        <c:ser>
          <c:idx val="3"/>
          <c:order val="3"/>
          <c:tx>
            <c:strRef>
              <c:f>Post!$Z$67</c:f>
              <c:strCache>
                <c:ptCount val="1"/>
                <c:pt idx="0">
                  <c:v>Average of during campign2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Post!$V$68:$V$72</c:f>
              <c:strCache>
                <c:ptCount val="4"/>
                <c:pt idx="0">
                  <c:v>EndOfSeasonSale</c:v>
                </c:pt>
                <c:pt idx="1">
                  <c:v>FashionUpgrade</c:v>
                </c:pt>
                <c:pt idx="2">
                  <c:v>MyntraFestiveEdit</c:v>
                </c:pt>
                <c:pt idx="3">
                  <c:v>StyleRevolution</c:v>
                </c:pt>
              </c:strCache>
            </c:strRef>
          </c:cat>
          <c:val>
            <c:numRef>
              <c:f>Post!$Z$68:$Z$72</c:f>
              <c:numCache>
                <c:formatCode>General</c:formatCode>
                <c:ptCount val="4"/>
                <c:pt idx="0">
                  <c:v>20185</c:v>
                </c:pt>
                <c:pt idx="1">
                  <c:v>29029</c:v>
                </c:pt>
                <c:pt idx="2">
                  <c:v>25499</c:v>
                </c:pt>
                <c:pt idx="3">
                  <c:v>16716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033-407E-B298-76E296B08487}"/>
            </c:ext>
          </c:extLst>
        </c:ser>
        <c:ser>
          <c:idx val="4"/>
          <c:order val="4"/>
          <c:tx>
            <c:strRef>
              <c:f>Post!$AA$67</c:f>
              <c:strCache>
                <c:ptCount val="1"/>
                <c:pt idx="0">
                  <c:v>Average of Before campign2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Post!$V$68:$V$72</c:f>
              <c:strCache>
                <c:ptCount val="4"/>
                <c:pt idx="0">
                  <c:v>EndOfSeasonSale</c:v>
                </c:pt>
                <c:pt idx="1">
                  <c:v>FashionUpgrade</c:v>
                </c:pt>
                <c:pt idx="2">
                  <c:v>MyntraFestiveEdit</c:v>
                </c:pt>
                <c:pt idx="3">
                  <c:v>StyleRevolution</c:v>
                </c:pt>
              </c:strCache>
            </c:strRef>
          </c:cat>
          <c:val>
            <c:numRef>
              <c:f>Post!$AA$68:$AA$72</c:f>
              <c:numCache>
                <c:formatCode>General</c:formatCode>
                <c:ptCount val="4"/>
                <c:pt idx="0">
                  <c:v>18337</c:v>
                </c:pt>
                <c:pt idx="1">
                  <c:v>67773</c:v>
                </c:pt>
                <c:pt idx="2">
                  <c:v>95022</c:v>
                </c:pt>
                <c:pt idx="3">
                  <c:v>133833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033-407E-B298-76E296B08487}"/>
            </c:ext>
          </c:extLst>
        </c:ser>
        <c:ser>
          <c:idx val="5"/>
          <c:order val="5"/>
          <c:tx>
            <c:strRef>
              <c:f>Post!$AB$67</c:f>
              <c:strCache>
                <c:ptCount val="1"/>
                <c:pt idx="0">
                  <c:v>Average of uplift2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Post!$V$68:$V$72</c:f>
              <c:strCache>
                <c:ptCount val="4"/>
                <c:pt idx="0">
                  <c:v>EndOfSeasonSale</c:v>
                </c:pt>
                <c:pt idx="1">
                  <c:v>FashionUpgrade</c:v>
                </c:pt>
                <c:pt idx="2">
                  <c:v>MyntraFestiveEdit</c:v>
                </c:pt>
                <c:pt idx="3">
                  <c:v>StyleRevolution</c:v>
                </c:pt>
              </c:strCache>
            </c:strRef>
          </c:cat>
          <c:val>
            <c:numRef>
              <c:f>Post!$AB$68:$AB$72</c:f>
              <c:numCache>
                <c:formatCode>0%</c:formatCode>
                <c:ptCount val="4"/>
                <c:pt idx="0">
                  <c:v>0.10077984403119376</c:v>
                </c:pt>
                <c:pt idx="1">
                  <c:v>-0.57167308515190418</c:v>
                </c:pt>
                <c:pt idx="2">
                  <c:v>-0.73165161752015317</c:v>
                </c:pt>
                <c:pt idx="3">
                  <c:v>-0.87509806998273965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033-407E-B298-76E296B084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64501807"/>
        <c:axId val="1864502287"/>
      </c:lineChart>
      <c:catAx>
        <c:axId val="1864501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4502287"/>
        <c:crosses val="autoZero"/>
        <c:auto val="1"/>
        <c:lblAlgn val="ctr"/>
        <c:lblOffset val="100"/>
        <c:noMultiLvlLbl val="0"/>
      </c:catAx>
      <c:valAx>
        <c:axId val="1864502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4501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5 Campaign Effectiveness.xlsx]Post!PivotTable78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Post!$X$25</c:f>
              <c:strCache>
                <c:ptCount val="1"/>
                <c:pt idx="0">
                  <c:v>Sum of Clicks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Post!$W$26:$W$30</c:f>
              <c:strCache>
                <c:ptCount val="4"/>
                <c:pt idx="0">
                  <c:v>EndOfSeasonSale</c:v>
                </c:pt>
                <c:pt idx="1">
                  <c:v>FashionUpgrade</c:v>
                </c:pt>
                <c:pt idx="2">
                  <c:v>MyntraFestiveEdit</c:v>
                </c:pt>
                <c:pt idx="3">
                  <c:v>StyleRevolution</c:v>
                </c:pt>
              </c:strCache>
            </c:strRef>
          </c:cat>
          <c:val>
            <c:numRef>
              <c:f>Post!$X$26:$X$30</c:f>
              <c:numCache>
                <c:formatCode>_ * #,##0.0_ ;_ * \-#,##0.0_ ;_ * "-"??_ ;_ @_ </c:formatCode>
                <c:ptCount val="4"/>
                <c:pt idx="0">
                  <c:v>12376</c:v>
                </c:pt>
                <c:pt idx="1">
                  <c:v>11191</c:v>
                </c:pt>
                <c:pt idx="2">
                  <c:v>12464</c:v>
                </c:pt>
                <c:pt idx="3">
                  <c:v>9335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C9-4430-BB7C-40FB24129F95}"/>
            </c:ext>
          </c:extLst>
        </c:ser>
        <c:ser>
          <c:idx val="1"/>
          <c:order val="1"/>
          <c:tx>
            <c:strRef>
              <c:f>Post!$Y$25</c:f>
              <c:strCache>
                <c:ptCount val="1"/>
                <c:pt idx="0">
                  <c:v>Sum of Impressions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Post!$W$26:$W$30</c:f>
              <c:strCache>
                <c:ptCount val="4"/>
                <c:pt idx="0">
                  <c:v>EndOfSeasonSale</c:v>
                </c:pt>
                <c:pt idx="1">
                  <c:v>FashionUpgrade</c:v>
                </c:pt>
                <c:pt idx="2">
                  <c:v>MyntraFestiveEdit</c:v>
                </c:pt>
                <c:pt idx="3">
                  <c:v>StyleRevolution</c:v>
                </c:pt>
              </c:strCache>
            </c:strRef>
          </c:cat>
          <c:val>
            <c:numRef>
              <c:f>Post!$Y$26:$Y$30</c:f>
              <c:numCache>
                <c:formatCode>_ * #,##0.0_ ;_ * \-#,##0.0_ ;_ * "-"??_ ;_ @_ </c:formatCode>
                <c:ptCount val="4"/>
                <c:pt idx="0">
                  <c:v>2886292</c:v>
                </c:pt>
                <c:pt idx="1">
                  <c:v>2788367</c:v>
                </c:pt>
                <c:pt idx="2">
                  <c:v>2611652</c:v>
                </c:pt>
                <c:pt idx="3">
                  <c:v>2107842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C9-4430-BB7C-40FB24129F95}"/>
            </c:ext>
          </c:extLst>
        </c:ser>
        <c:ser>
          <c:idx val="2"/>
          <c:order val="2"/>
          <c:tx>
            <c:strRef>
              <c:f>Post!$Z$25</c:f>
              <c:strCache>
                <c:ptCount val="1"/>
                <c:pt idx="0">
                  <c:v>Sum of Likes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Post!$W$26:$W$30</c:f>
              <c:strCache>
                <c:ptCount val="4"/>
                <c:pt idx="0">
                  <c:v>EndOfSeasonSale</c:v>
                </c:pt>
                <c:pt idx="1">
                  <c:v>FashionUpgrade</c:v>
                </c:pt>
                <c:pt idx="2">
                  <c:v>MyntraFestiveEdit</c:v>
                </c:pt>
                <c:pt idx="3">
                  <c:v>StyleRevolution</c:v>
                </c:pt>
              </c:strCache>
            </c:strRef>
          </c:cat>
          <c:val>
            <c:numRef>
              <c:f>Post!$Z$26:$Z$30</c:f>
              <c:numCache>
                <c:formatCode>_ * #,##0.0_ ;_ * \-#,##0.0_ ;_ * "-"??_ ;_ @_ </c:formatCode>
                <c:ptCount val="4"/>
                <c:pt idx="0">
                  <c:v>232785</c:v>
                </c:pt>
                <c:pt idx="1">
                  <c:v>212431</c:v>
                </c:pt>
                <c:pt idx="2">
                  <c:v>198666</c:v>
                </c:pt>
                <c:pt idx="3">
                  <c:v>176109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8C9-4430-BB7C-40FB24129F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64510927"/>
        <c:axId val="1864533007"/>
      </c:barChart>
      <c:lineChart>
        <c:grouping val="standard"/>
        <c:varyColors val="0"/>
        <c:ser>
          <c:idx val="3"/>
          <c:order val="3"/>
          <c:tx>
            <c:strRef>
              <c:f>Post!$AA$25</c:f>
              <c:strCache>
                <c:ptCount val="1"/>
                <c:pt idx="0">
                  <c:v>Average of Clicks2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Post!$W$26:$W$30</c:f>
              <c:strCache>
                <c:ptCount val="4"/>
                <c:pt idx="0">
                  <c:v>EndOfSeasonSale</c:v>
                </c:pt>
                <c:pt idx="1">
                  <c:v>FashionUpgrade</c:v>
                </c:pt>
                <c:pt idx="2">
                  <c:v>MyntraFestiveEdit</c:v>
                </c:pt>
                <c:pt idx="3">
                  <c:v>StyleRevolution</c:v>
                </c:pt>
              </c:strCache>
            </c:strRef>
          </c:cat>
          <c:val>
            <c:numRef>
              <c:f>Post!$AA$26:$AA$30</c:f>
              <c:numCache>
                <c:formatCode>_ * #,##0.0_ ;_ * \-#,##0.0_ ;_ * "-"??_ ;_ @_ </c:formatCode>
                <c:ptCount val="4"/>
                <c:pt idx="0">
                  <c:v>149.10843373493975</c:v>
                </c:pt>
                <c:pt idx="1">
                  <c:v>155.43055555555554</c:v>
                </c:pt>
                <c:pt idx="2">
                  <c:v>159.7948717948718</c:v>
                </c:pt>
                <c:pt idx="3">
                  <c:v>139.32835820895522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8C9-4430-BB7C-40FB24129F95}"/>
            </c:ext>
          </c:extLst>
        </c:ser>
        <c:ser>
          <c:idx val="4"/>
          <c:order val="4"/>
          <c:tx>
            <c:strRef>
              <c:f>Post!$AB$25</c:f>
              <c:strCache>
                <c:ptCount val="1"/>
                <c:pt idx="0">
                  <c:v>Average of Impressions2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Post!$W$26:$W$30</c:f>
              <c:strCache>
                <c:ptCount val="4"/>
                <c:pt idx="0">
                  <c:v>EndOfSeasonSale</c:v>
                </c:pt>
                <c:pt idx="1">
                  <c:v>FashionUpgrade</c:v>
                </c:pt>
                <c:pt idx="2">
                  <c:v>MyntraFestiveEdit</c:v>
                </c:pt>
                <c:pt idx="3">
                  <c:v>StyleRevolution</c:v>
                </c:pt>
              </c:strCache>
            </c:strRef>
          </c:cat>
          <c:val>
            <c:numRef>
              <c:f>Post!$AB$26:$AB$30</c:f>
              <c:numCache>
                <c:formatCode>_ * #,##0.0_ ;_ * \-#,##0.0_ ;_ * "-"??_ ;_ @_ </c:formatCode>
                <c:ptCount val="4"/>
                <c:pt idx="0">
                  <c:v>34774.602409638552</c:v>
                </c:pt>
                <c:pt idx="1">
                  <c:v>38727.319444444445</c:v>
                </c:pt>
                <c:pt idx="2">
                  <c:v>33482.717948717946</c:v>
                </c:pt>
                <c:pt idx="3">
                  <c:v>31460.328358208953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8C9-4430-BB7C-40FB24129F95}"/>
            </c:ext>
          </c:extLst>
        </c:ser>
        <c:ser>
          <c:idx val="5"/>
          <c:order val="5"/>
          <c:tx>
            <c:strRef>
              <c:f>Post!$AC$25</c:f>
              <c:strCache>
                <c:ptCount val="1"/>
                <c:pt idx="0">
                  <c:v>Average of Likes2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Post!$W$26:$W$30</c:f>
              <c:strCache>
                <c:ptCount val="4"/>
                <c:pt idx="0">
                  <c:v>EndOfSeasonSale</c:v>
                </c:pt>
                <c:pt idx="1">
                  <c:v>FashionUpgrade</c:v>
                </c:pt>
                <c:pt idx="2">
                  <c:v>MyntraFestiveEdit</c:v>
                </c:pt>
                <c:pt idx="3">
                  <c:v>StyleRevolution</c:v>
                </c:pt>
              </c:strCache>
            </c:strRef>
          </c:cat>
          <c:val>
            <c:numRef>
              <c:f>Post!$AC$26:$AC$30</c:f>
              <c:numCache>
                <c:formatCode>_ * #,##0.0_ ;_ * \-#,##0.0_ ;_ * "-"??_ ;_ @_ </c:formatCode>
                <c:ptCount val="4"/>
                <c:pt idx="0">
                  <c:v>2804.6385542168673</c:v>
                </c:pt>
                <c:pt idx="1">
                  <c:v>2950.4305555555557</c:v>
                </c:pt>
                <c:pt idx="2">
                  <c:v>2547</c:v>
                </c:pt>
                <c:pt idx="3">
                  <c:v>2628.4925373134329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8C9-4430-BB7C-40FB24129F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64510927"/>
        <c:axId val="1864533007"/>
      </c:lineChart>
      <c:catAx>
        <c:axId val="1864510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4533007"/>
        <c:crosses val="autoZero"/>
        <c:auto val="1"/>
        <c:lblAlgn val="ctr"/>
        <c:lblOffset val="100"/>
        <c:noMultiLvlLbl val="0"/>
      </c:catAx>
      <c:valAx>
        <c:axId val="1864533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.0_ ;_ * \-#,##0.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4510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5 Campaign Effectiveness.xlsx]Post!PivotTable80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Post!$X$113</c:f>
              <c:strCache>
                <c:ptCount val="1"/>
                <c:pt idx="0">
                  <c:v>Sum of Ad_Spend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Post!$W$114:$W$118</c:f>
              <c:strCache>
                <c:ptCount val="4"/>
                <c:pt idx="0">
                  <c:v>EndOfSeasonSale</c:v>
                </c:pt>
                <c:pt idx="1">
                  <c:v>FashionUpgrade</c:v>
                </c:pt>
                <c:pt idx="2">
                  <c:v>MyntraFestiveEdit</c:v>
                </c:pt>
                <c:pt idx="3">
                  <c:v>StyleRevolution</c:v>
                </c:pt>
              </c:strCache>
            </c:strRef>
          </c:cat>
          <c:val>
            <c:numRef>
              <c:f>Post!$X$114:$X$118</c:f>
              <c:numCache>
                <c:formatCode>General</c:formatCode>
                <c:ptCount val="4"/>
                <c:pt idx="0">
                  <c:v>1157507</c:v>
                </c:pt>
                <c:pt idx="1">
                  <c:v>997208</c:v>
                </c:pt>
                <c:pt idx="2">
                  <c:v>1503014</c:v>
                </c:pt>
                <c:pt idx="3">
                  <c:v>1175187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46-4AD3-AA36-ECCDD38942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28377071"/>
        <c:axId val="1928391471"/>
      </c:barChart>
      <c:lineChart>
        <c:grouping val="stacked"/>
        <c:varyColors val="0"/>
        <c:ser>
          <c:idx val="1"/>
          <c:order val="1"/>
          <c:tx>
            <c:strRef>
              <c:f>Post!$Y$113</c:f>
              <c:strCache>
                <c:ptCount val="1"/>
                <c:pt idx="0">
                  <c:v>Sum of Field1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Post!$W$114:$W$118</c:f>
              <c:strCache>
                <c:ptCount val="4"/>
                <c:pt idx="0">
                  <c:v>EndOfSeasonSale</c:v>
                </c:pt>
                <c:pt idx="1">
                  <c:v>FashionUpgrade</c:v>
                </c:pt>
                <c:pt idx="2">
                  <c:v>MyntraFestiveEdit</c:v>
                </c:pt>
                <c:pt idx="3">
                  <c:v>StyleRevolution</c:v>
                </c:pt>
              </c:strCache>
            </c:strRef>
          </c:cat>
          <c:val>
            <c:numRef>
              <c:f>Post!$Y$114:$Y$118</c:f>
              <c:numCache>
                <c:formatCode>General</c:formatCode>
                <c:ptCount val="4"/>
                <c:pt idx="0">
                  <c:v>0.25552674843435075</c:v>
                </c:pt>
                <c:pt idx="1">
                  <c:v>0.26578607472061999</c:v>
                </c:pt>
                <c:pt idx="2">
                  <c:v>0.17054997491706664</c:v>
                </c:pt>
                <c:pt idx="3">
                  <c:v>0.1877233155234018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46-4AD3-AA36-ECCDD38942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8377071"/>
        <c:axId val="1928391471"/>
      </c:lineChart>
      <c:catAx>
        <c:axId val="1928377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8391471"/>
        <c:crosses val="autoZero"/>
        <c:auto val="1"/>
        <c:lblAlgn val="ctr"/>
        <c:lblOffset val="100"/>
        <c:noMultiLvlLbl val="0"/>
      </c:catAx>
      <c:valAx>
        <c:axId val="1928391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8377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5 Campaign Effectiveness.xlsx]Post!PivotTable81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Growth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Post!$X$142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Post!$W$143:$W$147</c:f>
              <c:strCache>
                <c:ptCount val="4"/>
                <c:pt idx="0">
                  <c:v>EndOfSeasonSale</c:v>
                </c:pt>
                <c:pt idx="1">
                  <c:v>FashionUpgrade</c:v>
                </c:pt>
                <c:pt idx="2">
                  <c:v>MyntraFestiveEdit</c:v>
                </c:pt>
                <c:pt idx="3">
                  <c:v>StyleRevolution</c:v>
                </c:pt>
              </c:strCache>
            </c:strRef>
          </c:cat>
          <c:val>
            <c:numRef>
              <c:f>Post!$X$143:$X$147</c:f>
              <c:numCache>
                <c:formatCode>General</c:formatCode>
                <c:ptCount val="4"/>
                <c:pt idx="0">
                  <c:v>41475</c:v>
                </c:pt>
                <c:pt idx="1">
                  <c:v>39746</c:v>
                </c:pt>
                <c:pt idx="2">
                  <c:v>42662</c:v>
                </c:pt>
                <c:pt idx="3">
                  <c:v>36222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97-458A-A993-509B04D3E4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28406831"/>
        <c:axId val="1928408751"/>
      </c:barChart>
      <c:catAx>
        <c:axId val="1928406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8408751"/>
        <c:crosses val="autoZero"/>
        <c:auto val="1"/>
        <c:lblAlgn val="ctr"/>
        <c:lblOffset val="100"/>
        <c:noMultiLvlLbl val="0"/>
      </c:catAx>
      <c:valAx>
        <c:axId val="1928408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8406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561086</xdr:colOff>
      <xdr:row>59</xdr:row>
      <xdr:rowOff>118562</xdr:rowOff>
    </xdr:from>
    <xdr:to>
      <xdr:col>38</xdr:col>
      <xdr:colOff>250902</xdr:colOff>
      <xdr:row>80</xdr:row>
      <xdr:rowOff>131379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2B1215FD-C466-65F8-110C-61BBCD8D53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29</xdr:col>
      <xdr:colOff>512380</xdr:colOff>
      <xdr:row>16</xdr:row>
      <xdr:rowOff>13138</xdr:rowOff>
    </xdr:from>
    <xdr:to>
      <xdr:col>37</xdr:col>
      <xdr:colOff>354724</xdr:colOff>
      <xdr:row>39</xdr:row>
      <xdr:rowOff>156342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772C58A2-ED3A-EB63-97C4-4F83BBCA6B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162127</xdr:colOff>
      <xdr:row>104</xdr:row>
      <xdr:rowOff>72958</xdr:rowOff>
    </xdr:from>
    <xdr:to>
      <xdr:col>31</xdr:col>
      <xdr:colOff>226977</xdr:colOff>
      <xdr:row>123</xdr:row>
      <xdr:rowOff>98899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22455DB9-7BCE-8199-42AD-A08B46356D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24</xdr:col>
      <xdr:colOff>95249</xdr:colOff>
      <xdr:row>136</xdr:row>
      <xdr:rowOff>57150</xdr:rowOff>
    </xdr:from>
    <xdr:to>
      <xdr:col>28</xdr:col>
      <xdr:colOff>70669</xdr:colOff>
      <xdr:row>151</xdr:row>
      <xdr:rowOff>127205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CD9341FD-51FC-88C9-5A66-23E4B3E9B4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085.812981134259" createdVersion="8" refreshedVersion="8" minRefreshableVersion="3" recordCount="200" xr:uid="{7FBC5B3A-4A4D-4430-8B3D-4D99A4F3C441}">
  <cacheSource type="worksheet">
    <worksheetSource ref="A1:J201" sheet="Engagment Summary"/>
  </cacheSource>
  <cacheFields count="10">
    <cacheField name="Week_Start_Date" numFmtId="14">
      <sharedItems containsSemiMixedTypes="0" containsNonDate="0" containsDate="1" containsString="0" minDate="2024-06-03T00:00:00" maxDate="2025-05-13T00:00:00"/>
    </cacheField>
    <cacheField name="Platform" numFmtId="0">
      <sharedItems/>
    </cacheField>
    <cacheField name="New_Followers" numFmtId="164">
      <sharedItems containsSemiMixedTypes="0" containsString="0" containsNumber="1" containsInteger="1" minValue="115" maxValue="1980"/>
    </cacheField>
    <cacheField name="Unfollows" numFmtId="164">
      <sharedItems containsSemiMixedTypes="0" containsString="0" containsNumber="1" containsInteger="1" minValue="20" maxValue="498"/>
    </cacheField>
    <cacheField name="Net_Growth" numFmtId="164">
      <sharedItems containsSemiMixedTypes="0" containsString="0" containsNumber="1" containsInteger="1" minValue="-337" maxValue="1881"/>
    </cacheField>
    <cacheField name="growth rate" numFmtId="10">
      <sharedItems containsSemiMixedTypes="0" containsString="0" containsNumber="1" minValue="-4.0653839194161288E-3" maxValue="0.12139196115457243"/>
    </cacheField>
    <cacheField name="Total_Followers" numFmtId="164">
      <sharedItems containsSemiMixedTypes="0" containsString="0" containsNumber="1" containsInteger="1" minValue="11435" maxValue="496982"/>
    </cacheField>
    <cacheField name="Engagement_Rate" numFmtId="0">
      <sharedItems containsSemiMixedTypes="0" containsString="0" containsNumber="1" minValue="1.53" maxValue="9.48"/>
    </cacheField>
    <cacheField name="Ad_Spend" numFmtId="165">
      <sharedItems containsSemiMixedTypes="0" containsString="0" containsNumber="1" containsInteger="1" minValue="1083" maxValue="49772"/>
    </cacheField>
    <cacheField name="Engagement" numFmtId="0">
      <sharedItems containsSemiMixedTypes="0" containsString="0" containsNumber="1" containsInteger="1" minValue="497" maxValue="627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085.850599074074" createdVersion="8" refreshedVersion="8" minRefreshableVersion="3" recordCount="300" xr:uid="{8A1C9166-503E-4F09-8C13-DB847AC5DE51}">
  <cacheSource type="worksheet">
    <worksheetSource ref="A1:R301" sheet="Post"/>
  </cacheSource>
  <cacheFields count="18">
    <cacheField name="Post ID" numFmtId="0">
      <sharedItems/>
    </cacheField>
    <cacheField name="Platform" numFmtId="0">
      <sharedItems/>
    </cacheField>
    <cacheField name="Date" numFmtId="14">
      <sharedItems containsSemiMixedTypes="0" containsNonDate="0" containsDate="1" containsString="0" minDate="2024-06-01T00:00:00" maxDate="2025-05-15T00:00:00"/>
    </cacheField>
    <cacheField name="Content Type" numFmtId="0">
      <sharedItems/>
    </cacheField>
    <cacheField name="Post Text" numFmtId="0">
      <sharedItems/>
    </cacheField>
    <cacheField name="Likes" numFmtId="164">
      <sharedItems containsSemiMixedTypes="0" containsString="0" containsNumber="1" containsInteger="1" minValue="53" maxValue="4941"/>
    </cacheField>
    <cacheField name="Shares" numFmtId="164">
      <sharedItems containsSemiMixedTypes="0" containsString="0" containsNumber="1" containsInteger="1" minValue="10" maxValue="983"/>
    </cacheField>
    <cacheField name="Comments" numFmtId="164">
      <sharedItems containsSemiMixedTypes="0" containsString="0" containsNumber="1" containsInteger="1" minValue="7" maxValue="500"/>
    </cacheField>
    <cacheField name="Engagement" numFmtId="164">
      <sharedItems containsSemiMixedTypes="0" containsString="0" containsNumber="1" containsInteger="1" minValue="315" maxValue="6278"/>
    </cacheField>
    <cacheField name="Engagement Average" numFmtId="10">
      <sharedItems containsSemiMixedTypes="0" containsString="0" containsNumber="1" minValue="5.2551586421122697E-2" maxValue="1.8129251700680271"/>
    </cacheField>
    <cacheField name="Impressions" numFmtId="164">
      <sharedItems containsSemiMixedTypes="0" containsString="0" containsNumber="1" containsInteger="1" minValue="588" maxValue="98100"/>
    </cacheField>
    <cacheField name="Reach" numFmtId="164">
      <sharedItems containsSemiMixedTypes="0" containsString="0" containsNumber="1" containsInteger="1" minValue="7" maxValue="97772"/>
    </cacheField>
    <cacheField name="Clicks" numFmtId="164">
      <sharedItems containsSemiMixedTypes="0" containsString="0" containsNumber="1" containsInteger="1" minValue="10" maxValue="300"/>
    </cacheField>
    <cacheField name="Hashtags Used" numFmtId="0">
      <sharedItems/>
    </cacheField>
    <cacheField name="Hashtags Used 2" numFmtId="0">
      <sharedItems containsBlank="1"/>
    </cacheField>
    <cacheField name="Campaign_Name" numFmtId="0">
      <sharedItems count="4">
        <s v="FashionUpgrade"/>
        <s v="EndOfSeasonSale"/>
        <s v="MyntraFestiveEdit"/>
        <s v="StyleRevolution"/>
      </sharedItems>
    </cacheField>
    <cacheField name="Ad_Spend" numFmtId="165">
      <sharedItems containsString="0" containsBlank="1" containsNumber="1" containsInteger="1" minValue="1083" maxValue="49772"/>
    </cacheField>
    <cacheField name="Net_Growth" numFmtId="0">
      <sharedItems containsString="0" containsBlank="1" containsNumber="1" containsInteger="1" minValue="-337" maxValue="188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085.919107870373" createdVersion="8" refreshedVersion="8" minRefreshableVersion="3" recordCount="4" xr:uid="{110DD9BB-63F1-4502-9A91-C82AC3EA947F}">
  <cacheSource type="worksheet">
    <worksheetSource ref="T1:W5" sheet="Post"/>
  </cacheSource>
  <cacheFields count="4">
    <cacheField name="Campaign_Name" numFmtId="0">
      <sharedItems count="4">
        <s v="EndOfSeasonSale"/>
        <s v="FashionUpgrade"/>
        <s v="MyntraFestiveEdit"/>
        <s v="StyleRevolution"/>
      </sharedItems>
    </cacheField>
    <cacheField name="during campign" numFmtId="0">
      <sharedItems containsSemiMixedTypes="0" containsString="0" containsNumber="1" containsInteger="1" minValue="16716" maxValue="29029"/>
    </cacheField>
    <cacheField name="Before campign" numFmtId="0">
      <sharedItems containsSemiMixedTypes="0" containsString="0" containsNumber="1" containsInteger="1" minValue="18337" maxValue="133833"/>
    </cacheField>
    <cacheField name="uplift" numFmtId="9">
      <sharedItems containsSemiMixedTypes="0" containsString="0" containsNumber="1" minValue="-0.87509806998273965" maxValue="0.1007798440311937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085.92365034722" createdVersion="8" refreshedVersion="8" minRefreshableVersion="3" recordCount="300" xr:uid="{7A911ED5-B976-49BD-8C9A-7D4D926D6BF2}">
  <cacheSource type="worksheet">
    <worksheetSource ref="A1:S301" sheet="Post"/>
  </cacheSource>
  <cacheFields count="20">
    <cacheField name="Post ID" numFmtId="0">
      <sharedItems/>
    </cacheField>
    <cacheField name="Platform" numFmtId="0">
      <sharedItems/>
    </cacheField>
    <cacheField name="Date" numFmtId="14">
      <sharedItems containsSemiMixedTypes="0" containsNonDate="0" containsDate="1" containsString="0" minDate="2024-06-01T00:00:00" maxDate="2025-05-15T00:00:00"/>
    </cacheField>
    <cacheField name="Content Type" numFmtId="0">
      <sharedItems/>
    </cacheField>
    <cacheField name="Post Text" numFmtId="0">
      <sharedItems/>
    </cacheField>
    <cacheField name="Likes" numFmtId="164">
      <sharedItems containsSemiMixedTypes="0" containsString="0" containsNumber="1" containsInteger="1" minValue="53" maxValue="4941"/>
    </cacheField>
    <cacheField name="Shares" numFmtId="164">
      <sharedItems containsSemiMixedTypes="0" containsString="0" containsNumber="1" containsInteger="1" minValue="10" maxValue="983"/>
    </cacheField>
    <cacheField name="Comments" numFmtId="164">
      <sharedItems containsSemiMixedTypes="0" containsString="0" containsNumber="1" containsInteger="1" minValue="7" maxValue="500"/>
    </cacheField>
    <cacheField name="Engagement" numFmtId="164">
      <sharedItems containsSemiMixedTypes="0" containsString="0" containsNumber="1" containsInteger="1" minValue="315" maxValue="6278"/>
    </cacheField>
    <cacheField name="Engagement Average" numFmtId="10">
      <sharedItems containsSemiMixedTypes="0" containsString="0" containsNumber="1" minValue="5.2551586421122697E-2" maxValue="1.8129251700680271"/>
    </cacheField>
    <cacheField name="Impressions" numFmtId="164">
      <sharedItems containsSemiMixedTypes="0" containsString="0" containsNumber="1" containsInteger="1" minValue="588" maxValue="98100"/>
    </cacheField>
    <cacheField name="Reach" numFmtId="164">
      <sharedItems containsSemiMixedTypes="0" containsString="0" containsNumber="1" containsInteger="1" minValue="7" maxValue="97772"/>
    </cacheField>
    <cacheField name="Clicks" numFmtId="164">
      <sharedItems containsSemiMixedTypes="0" containsString="0" containsNumber="1" containsInteger="1" minValue="10" maxValue="300"/>
    </cacheField>
    <cacheField name="Hashtags Used" numFmtId="0">
      <sharedItems/>
    </cacheField>
    <cacheField name="Hashtags Used 2" numFmtId="0">
      <sharedItems containsBlank="1"/>
    </cacheField>
    <cacheField name="Campaign_Name" numFmtId="0">
      <sharedItems count="4">
        <s v="FashionUpgrade"/>
        <s v="EndOfSeasonSale"/>
        <s v="MyntraFestiveEdit"/>
        <s v="StyleRevolution"/>
      </sharedItems>
    </cacheField>
    <cacheField name="Ad_Spend" numFmtId="165">
      <sharedItems containsString="0" containsBlank="1" containsNumber="1" containsInteger="1" minValue="1083" maxValue="49772"/>
    </cacheField>
    <cacheField name="Net_Growth" numFmtId="0">
      <sharedItems containsString="0" containsBlank="1" containsNumber="1" containsInteger="1" minValue="-337" maxValue="1881"/>
    </cacheField>
    <cacheField name="ROI" numFmtId="0">
      <sharedItems containsString="0" containsBlank="1" containsNumber="1" minValue="1.0808646917534028E-2" maxValue="3.0806629834254142"/>
    </cacheField>
    <cacheField name="Field1" numFmtId="0" formula="Engagement/Ad_Spend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d v="2024-06-03T00:00:00"/>
    <s v="Instagram"/>
    <n v="1135"/>
    <n v="88"/>
    <n v="1047"/>
    <n v="3.0521488935595868E-3"/>
    <n v="344084"/>
    <n v="8.06"/>
    <n v="5904"/>
    <n v="1989"/>
  </r>
  <r>
    <d v="2024-06-03T00:00:00"/>
    <s v="Facebook"/>
    <n v="1312"/>
    <n v="310"/>
    <n v="1002"/>
    <n v="2.4056467876692595E-2"/>
    <n v="42654"/>
    <n v="4.9800000000000004"/>
    <n v="9566"/>
    <n v="4936"/>
  </r>
  <r>
    <d v="2024-06-03T00:00:00"/>
    <s v="Twitter"/>
    <n v="584"/>
    <n v="169"/>
    <n v="415"/>
    <n v="2.8343316099686518E-3"/>
    <n v="146834"/>
    <n v="8.31"/>
    <n v="26752"/>
    <n v="2949"/>
  </r>
  <r>
    <d v="2024-06-03T00:00:00"/>
    <s v="YouTube"/>
    <n v="1535"/>
    <n v="445"/>
    <n v="1090"/>
    <n v="2.7633693838953876E-3"/>
    <n v="395536"/>
    <n v="4.1100000000000003"/>
    <n v="30671"/>
    <n v="2905"/>
  </r>
  <r>
    <d v="2024-06-10T00:00:00"/>
    <s v="Instagram"/>
    <n v="656"/>
    <n v="139"/>
    <n v="517"/>
    <n v="1.0629111842105262E-2"/>
    <n v="49157"/>
    <n v="9.0500000000000007"/>
    <n v="9920"/>
    <n v="4668"/>
  </r>
  <r>
    <d v="2024-06-10T00:00:00"/>
    <s v="Facebook"/>
    <n v="1697"/>
    <n v="414"/>
    <n v="1283"/>
    <n v="4.06950189043112E-3"/>
    <n v="316555"/>
    <n v="2.37"/>
    <n v="7924"/>
    <n v="4230"/>
  </r>
  <r>
    <d v="2024-06-10T00:00:00"/>
    <s v="Twitter"/>
    <n v="436"/>
    <n v="250"/>
    <n v="186"/>
    <n v="7.3181959466637287E-4"/>
    <n v="254347"/>
    <n v="4.01"/>
    <n v="8912"/>
    <n v="4340"/>
  </r>
  <r>
    <d v="2024-06-10T00:00:00"/>
    <s v="YouTube"/>
    <n v="1197"/>
    <n v="203"/>
    <n v="994"/>
    <n v="2.4074558471628834E-3"/>
    <n v="413878"/>
    <n v="3.16"/>
    <n v="21205"/>
    <n v="4469"/>
  </r>
  <r>
    <d v="2024-06-17T00:00:00"/>
    <s v="Instagram"/>
    <n v="1048"/>
    <n v="155"/>
    <n v="893"/>
    <n v="1.9581057464812205E-3"/>
    <n v="456946"/>
    <n v="2.46"/>
    <n v="11329"/>
    <n v="4996"/>
  </r>
  <r>
    <d v="2024-06-17T00:00:00"/>
    <s v="Facebook"/>
    <n v="1753"/>
    <n v="371"/>
    <n v="1382"/>
    <n v="8.2206122036237311E-3"/>
    <n v="169496"/>
    <n v="8.11"/>
    <n v="46670"/>
    <n v="5190"/>
  </r>
  <r>
    <d v="2024-06-17T00:00:00"/>
    <s v="Twitter"/>
    <n v="1335"/>
    <n v="40"/>
    <n v="1295"/>
    <n v="1.0663965677676491E-2"/>
    <n v="122732"/>
    <n v="8.19"/>
    <n v="22482"/>
    <n v="2903"/>
  </r>
  <r>
    <d v="2024-06-17T00:00:00"/>
    <s v="YouTube"/>
    <n v="403"/>
    <n v="66"/>
    <n v="337"/>
    <n v="8.810135053880381E-4"/>
    <n v="382851"/>
    <n v="3.49"/>
    <n v="24313"/>
    <n v="3009"/>
  </r>
  <r>
    <d v="2024-06-24T00:00:00"/>
    <s v="Instagram"/>
    <n v="911"/>
    <n v="282"/>
    <n v="629"/>
    <n v="1.7953475096332241E-2"/>
    <n v="35664"/>
    <n v="6.92"/>
    <n v="18050"/>
    <n v="1688"/>
  </r>
  <r>
    <d v="2024-06-24T00:00:00"/>
    <s v="Facebook"/>
    <n v="1779"/>
    <n v="109"/>
    <n v="1670"/>
    <n v="6.7817258883248729E-2"/>
    <n v="26295"/>
    <n v="9.1199999999999992"/>
    <n v="30635"/>
    <n v="4928"/>
  </r>
  <r>
    <d v="2024-06-24T00:00:00"/>
    <s v="Twitter"/>
    <n v="1238"/>
    <n v="403"/>
    <n v="835"/>
    <n v="2.8059115684205575E-3"/>
    <n v="298421"/>
    <n v="3.5"/>
    <n v="31280"/>
    <n v="4620"/>
  </r>
  <r>
    <d v="2024-06-24T00:00:00"/>
    <s v="YouTube"/>
    <n v="308"/>
    <n v="431"/>
    <n v="-123"/>
    <n v="-2.8852446710938363E-4"/>
    <n v="426184"/>
    <n v="2.62"/>
    <n v="1783"/>
    <n v="4189"/>
  </r>
  <r>
    <d v="2024-07-01T00:00:00"/>
    <s v="Instagram"/>
    <n v="226"/>
    <n v="445"/>
    <n v="-219"/>
    <n v="-5.2184356130827853E-4"/>
    <n v="419447"/>
    <n v="9.36"/>
    <n v="9566"/>
    <n v="5022"/>
  </r>
  <r>
    <d v="2024-07-01T00:00:00"/>
    <s v="Facebook"/>
    <n v="505"/>
    <n v="441"/>
    <n v="64"/>
    <n v="2.9096728436596409E-4"/>
    <n v="220020"/>
    <n v="4.4800000000000004"/>
    <n v="42307"/>
    <n v="3707"/>
  </r>
  <r>
    <d v="2024-07-01T00:00:00"/>
    <s v="Twitter"/>
    <n v="1420"/>
    <n v="63"/>
    <n v="1357"/>
    <n v="4.3223718577598842E-3"/>
    <n v="315305"/>
    <n v="6.19"/>
    <n v="5914"/>
    <n v="1612"/>
  </r>
  <r>
    <d v="2024-07-01T00:00:00"/>
    <s v="YouTube"/>
    <n v="144"/>
    <n v="53"/>
    <n v="91"/>
    <n v="8.0114801869932302E-4"/>
    <n v="113678"/>
    <n v="8.7200000000000006"/>
    <n v="30060"/>
    <n v="4915"/>
  </r>
  <r>
    <d v="2024-07-08T00:00:00"/>
    <s v="Instagram"/>
    <n v="1757"/>
    <n v="85"/>
    <n v="1672"/>
    <n v="2.9566232250534917E-2"/>
    <n v="58223"/>
    <n v="8.74"/>
    <n v="22728"/>
    <n v="5606"/>
  </r>
  <r>
    <d v="2024-07-08T00:00:00"/>
    <s v="Facebook"/>
    <n v="350"/>
    <n v="41"/>
    <n v="309"/>
    <n v="1.2291902858165761E-3"/>
    <n v="251694"/>
    <n v="1.91"/>
    <n v="38610"/>
    <n v="2017"/>
  </r>
  <r>
    <d v="2024-07-08T00:00:00"/>
    <s v="Twitter"/>
    <n v="987"/>
    <n v="440"/>
    <n v="547"/>
    <n v="1.4052196073091972E-3"/>
    <n v="389810"/>
    <n v="4.66"/>
    <n v="2932"/>
    <n v="2469"/>
  </r>
  <r>
    <d v="2024-07-08T00:00:00"/>
    <s v="YouTube"/>
    <n v="883"/>
    <n v="369"/>
    <n v="514"/>
    <n v="2.2043056865940474E-3"/>
    <n v="233694"/>
    <n v="2.88"/>
    <n v="15071"/>
    <n v="4853"/>
  </r>
  <r>
    <d v="2024-07-15T00:00:00"/>
    <s v="Instagram"/>
    <n v="1960"/>
    <n v="115"/>
    <n v="1845"/>
    <n v="1.2112339486883223E-2"/>
    <n v="154169"/>
    <n v="3.74"/>
    <n v="10740"/>
    <n v="3536"/>
  </r>
  <r>
    <d v="2024-07-15T00:00:00"/>
    <s v="Facebook"/>
    <n v="170"/>
    <n v="334"/>
    <n v="-164"/>
    <n v="-4.8985931479434872E-4"/>
    <n v="334626"/>
    <n v="6.44"/>
    <n v="43420"/>
    <n v="3780"/>
  </r>
  <r>
    <d v="2024-07-15T00:00:00"/>
    <s v="Twitter"/>
    <n v="704"/>
    <n v="275"/>
    <n v="429"/>
    <n v="1.9018233565187323E-3"/>
    <n v="226002"/>
    <n v="8.56"/>
    <n v="32393"/>
    <n v="2375"/>
  </r>
  <r>
    <d v="2024-07-15T00:00:00"/>
    <s v="YouTube"/>
    <n v="224"/>
    <n v="64"/>
    <n v="160"/>
    <n v="1.0222139877206545E-3"/>
    <n v="156683"/>
    <n v="4.5599999999999996"/>
    <n v="28474"/>
    <n v="1179"/>
  </r>
  <r>
    <d v="2024-07-22T00:00:00"/>
    <s v="Instagram"/>
    <n v="508"/>
    <n v="349"/>
    <n v="159"/>
    <n v="3.3568878482771145E-4"/>
    <n v="473812"/>
    <n v="7.88"/>
    <n v="17328"/>
    <n v="2721"/>
  </r>
  <r>
    <d v="2024-07-22T00:00:00"/>
    <s v="Facebook"/>
    <n v="1391"/>
    <n v="430"/>
    <n v="961"/>
    <n v="3.2679182918410859E-3"/>
    <n v="295032"/>
    <n v="7.86"/>
    <n v="26067"/>
    <n v="3212"/>
  </r>
  <r>
    <d v="2024-07-22T00:00:00"/>
    <s v="Twitter"/>
    <n v="1701"/>
    <n v="385"/>
    <n v="1316"/>
    <n v="6.6814918613742752E-3"/>
    <n v="198278"/>
    <n v="5.34"/>
    <n v="32763"/>
    <n v="866"/>
  </r>
  <r>
    <d v="2024-07-22T00:00:00"/>
    <s v="YouTube"/>
    <n v="804"/>
    <n v="487"/>
    <n v="317"/>
    <n v="1.0351121806907496E-3"/>
    <n v="306564"/>
    <n v="5.52"/>
    <n v="26452"/>
    <n v="2609"/>
  </r>
  <r>
    <d v="2024-07-29T00:00:00"/>
    <s v="Instagram"/>
    <n v="653"/>
    <n v="112"/>
    <n v="541"/>
    <n v="2.3396618085888509E-2"/>
    <n v="23664"/>
    <n v="4.05"/>
    <n v="15353"/>
    <n v="2158"/>
  </r>
  <r>
    <d v="2024-07-29T00:00:00"/>
    <s v="Facebook"/>
    <n v="160"/>
    <n v="478"/>
    <n v="-318"/>
    <n v="-7.3044341130855037E-4"/>
    <n v="435034"/>
    <n v="7.73"/>
    <n v="4839"/>
    <n v="2098"/>
  </r>
  <r>
    <d v="2024-07-29T00:00:00"/>
    <s v="Twitter"/>
    <n v="1756"/>
    <n v="261"/>
    <n v="1495"/>
    <n v="5.2258292289891952E-3"/>
    <n v="287574"/>
    <n v="4.3600000000000003"/>
    <n v="39272"/>
    <n v="4030"/>
  </r>
  <r>
    <d v="2024-07-29T00:00:00"/>
    <s v="YouTube"/>
    <n v="576"/>
    <n v="101"/>
    <n v="475"/>
    <n v="7.6583258093641171E-3"/>
    <n v="62499"/>
    <n v="3.48"/>
    <n v="16804"/>
    <n v="5186"/>
  </r>
  <r>
    <d v="2024-08-05T00:00:00"/>
    <s v="Instagram"/>
    <n v="645"/>
    <n v="293"/>
    <n v="352"/>
    <n v="8.0435815875105118E-4"/>
    <n v="437968"/>
    <n v="7.83"/>
    <n v="49303"/>
    <n v="4299"/>
  </r>
  <r>
    <d v="2024-08-05T00:00:00"/>
    <s v="Facebook"/>
    <n v="214"/>
    <n v="411"/>
    <n v="-197"/>
    <n v="-1.573092924275938E-3"/>
    <n v="125034"/>
    <n v="6.11"/>
    <n v="26455"/>
    <n v="3552"/>
  </r>
  <r>
    <d v="2024-08-05T00:00:00"/>
    <s v="Twitter"/>
    <n v="826"/>
    <n v="498"/>
    <n v="328"/>
    <n v="7.294302882583962E-4"/>
    <n v="449994"/>
    <n v="9.43"/>
    <n v="12384"/>
    <n v="4370"/>
  </r>
  <r>
    <d v="2024-08-05T00:00:00"/>
    <s v="YouTube"/>
    <n v="460"/>
    <n v="141"/>
    <n v="319"/>
    <n v="9.9584492290786717E-4"/>
    <n v="320650"/>
    <n v="4.04"/>
    <n v="49372"/>
    <n v="5316"/>
  </r>
  <r>
    <d v="2024-08-12T00:00:00"/>
    <s v="Instagram"/>
    <n v="1528"/>
    <n v="203"/>
    <n v="1325"/>
    <n v="2.7159263973697534E-3"/>
    <n v="489188"/>
    <n v="6.23"/>
    <n v="47101"/>
    <n v="1513"/>
  </r>
  <r>
    <d v="2024-08-12T00:00:00"/>
    <s v="Facebook"/>
    <n v="1534"/>
    <n v="200"/>
    <n v="1334"/>
    <n v="4.3555201483619459E-3"/>
    <n v="307612"/>
    <n v="6.01"/>
    <n v="37903"/>
    <n v="2696"/>
  </r>
  <r>
    <d v="2024-08-12T00:00:00"/>
    <s v="Twitter"/>
    <n v="485"/>
    <n v="448"/>
    <n v="37"/>
    <n v="8.5087594228761446E-5"/>
    <n v="434883"/>
    <n v="8.5500000000000007"/>
    <n v="33258"/>
    <n v="2847"/>
  </r>
  <r>
    <d v="2024-08-12T00:00:00"/>
    <s v="YouTube"/>
    <n v="1210"/>
    <n v="178"/>
    <n v="1032"/>
    <n v="1.0216810216810217E-2"/>
    <n v="102042"/>
    <n v="5.42"/>
    <n v="6915"/>
    <n v="3486"/>
  </r>
  <r>
    <d v="2024-08-19T00:00:00"/>
    <s v="Instagram"/>
    <n v="215"/>
    <n v="139"/>
    <n v="76"/>
    <n v="2.3358166752723071E-4"/>
    <n v="325444"/>
    <n v="3.25"/>
    <n v="35501"/>
    <n v="3804"/>
  </r>
  <r>
    <d v="2024-08-19T00:00:00"/>
    <s v="Facebook"/>
    <n v="1078"/>
    <n v="20"/>
    <n v="1058"/>
    <n v="5.7856572572266033E-3"/>
    <n v="183924"/>
    <n v="8.84"/>
    <n v="14203"/>
    <n v="1497"/>
  </r>
  <r>
    <d v="2024-08-19T00:00:00"/>
    <s v="Twitter"/>
    <n v="1751"/>
    <n v="86"/>
    <n v="1665"/>
    <n v="8.9042194769773791E-3"/>
    <n v="188655"/>
    <n v="7.24"/>
    <n v="22206"/>
    <n v="3609"/>
  </r>
  <r>
    <d v="2024-08-19T00:00:00"/>
    <s v="YouTube"/>
    <n v="221"/>
    <n v="31"/>
    <n v="190"/>
    <n v="2.1775755561413363E-3"/>
    <n v="87443"/>
    <n v="6.19"/>
    <n v="10283"/>
    <n v="2723"/>
  </r>
  <r>
    <d v="2024-08-26T00:00:00"/>
    <s v="Instagram"/>
    <n v="1685"/>
    <n v="76"/>
    <n v="1609"/>
    <n v="3.5582387934275416E-3"/>
    <n v="453799"/>
    <n v="5.71"/>
    <n v="24913"/>
    <n v="2987"/>
  </r>
  <r>
    <d v="2024-08-26T00:00:00"/>
    <s v="Facebook"/>
    <n v="248"/>
    <n v="211"/>
    <n v="37"/>
    <n v="9.7537057491505044E-5"/>
    <n v="379380"/>
    <n v="9.0399999999999991"/>
    <n v="26925"/>
    <n v="2974"/>
  </r>
  <r>
    <d v="2024-08-26T00:00:00"/>
    <s v="Twitter"/>
    <n v="1300"/>
    <n v="71"/>
    <n v="1229"/>
    <n v="6.6351734377108921E-3"/>
    <n v="186454"/>
    <n v="3.91"/>
    <n v="9942"/>
    <n v="2943"/>
  </r>
  <r>
    <d v="2024-08-26T00:00:00"/>
    <s v="YouTube"/>
    <n v="422"/>
    <n v="394"/>
    <n v="28"/>
    <n v="1.1714696924055294E-4"/>
    <n v="239044"/>
    <n v="7.83"/>
    <n v="32929"/>
    <n v="1635"/>
  </r>
  <r>
    <d v="2024-09-02T00:00:00"/>
    <s v="Instagram"/>
    <n v="1429"/>
    <n v="182"/>
    <n v="1247"/>
    <n v="1.2459409501923365E-2"/>
    <n v="101332"/>
    <n v="7.16"/>
    <n v="37829"/>
    <n v="1486"/>
  </r>
  <r>
    <d v="2024-09-02T00:00:00"/>
    <s v="Facebook"/>
    <n v="1520"/>
    <n v="475"/>
    <n v="1045"/>
    <n v="2.1071224772501347E-3"/>
    <n v="496982"/>
    <n v="6.41"/>
    <n v="24384"/>
    <n v="3062"/>
  </r>
  <r>
    <d v="2024-09-02T00:00:00"/>
    <s v="Twitter"/>
    <n v="557"/>
    <n v="360"/>
    <n v="197"/>
    <n v="6.1836513048445924E-4"/>
    <n v="318779"/>
    <n v="8.02"/>
    <n v="25797"/>
    <n v="1352"/>
  </r>
  <r>
    <d v="2024-09-02T00:00:00"/>
    <s v="YouTube"/>
    <n v="728"/>
    <n v="395"/>
    <n v="333"/>
    <n v="8.9845077946675727E-4"/>
    <n v="370971"/>
    <n v="3.86"/>
    <n v="12646"/>
    <n v="3811"/>
  </r>
  <r>
    <d v="2024-09-09T00:00:00"/>
    <s v="Instagram"/>
    <n v="1592"/>
    <n v="20"/>
    <n v="1572"/>
    <n v="4.1754984302038341E-3"/>
    <n v="378054"/>
    <n v="9.09"/>
    <n v="26663"/>
    <n v="3655"/>
  </r>
  <r>
    <d v="2024-09-09T00:00:00"/>
    <s v="Facebook"/>
    <n v="1842"/>
    <n v="414"/>
    <n v="1428"/>
    <n v="4.6652030735455539E-3"/>
    <n v="307524"/>
    <n v="1.76"/>
    <n v="40478"/>
    <n v="892"/>
  </r>
  <r>
    <d v="2024-09-09T00:00:00"/>
    <s v="Twitter"/>
    <n v="751"/>
    <n v="491"/>
    <n v="260"/>
    <n v="5.9937250309483687E-4"/>
    <n v="434047"/>
    <n v="9.24"/>
    <n v="15476"/>
    <n v="2830"/>
  </r>
  <r>
    <d v="2024-09-09T00:00:00"/>
    <s v="YouTube"/>
    <n v="1409"/>
    <n v="309"/>
    <n v="1100"/>
    <n v="1.7327473496841675E-2"/>
    <n v="64583"/>
    <n v="8.99"/>
    <n v="10217"/>
    <n v="1940"/>
  </r>
  <r>
    <d v="2024-09-16T00:00:00"/>
    <s v="Instagram"/>
    <n v="778"/>
    <n v="401"/>
    <n v="377"/>
    <n v="7.4777848302126308E-3"/>
    <n v="50793"/>
    <n v="3.4"/>
    <n v="21939"/>
    <n v="6278"/>
  </r>
  <r>
    <d v="2024-09-16T00:00:00"/>
    <s v="Facebook"/>
    <n v="443"/>
    <n v="345"/>
    <n v="98"/>
    <n v="2.0672314286678591E-4"/>
    <n v="474162"/>
    <n v="9.1999999999999993"/>
    <n v="47462"/>
    <n v="513"/>
  </r>
  <r>
    <d v="2024-09-16T00:00:00"/>
    <s v="Twitter"/>
    <n v="1472"/>
    <n v="347"/>
    <n v="1125"/>
    <n v="2.8755463538072232E-3"/>
    <n v="392355"/>
    <n v="8.59"/>
    <n v="30270"/>
    <n v="4737"/>
  </r>
  <r>
    <d v="2024-09-16T00:00:00"/>
    <s v="YouTube"/>
    <n v="123"/>
    <n v="155"/>
    <n v="-32"/>
    <n v="-2.6674224363569678E-4"/>
    <n v="119934"/>
    <n v="3.5"/>
    <n v="5442"/>
    <n v="3542"/>
  </r>
  <r>
    <d v="2024-09-23T00:00:00"/>
    <s v="Instagram"/>
    <n v="817"/>
    <n v="151"/>
    <n v="666"/>
    <n v="1.5783523991667436E-3"/>
    <n v="422625"/>
    <n v="2.36"/>
    <n v="1083"/>
    <n v="2481"/>
  </r>
  <r>
    <d v="2024-09-23T00:00:00"/>
    <s v="Facebook"/>
    <n v="198"/>
    <n v="217"/>
    <n v="-19"/>
    <n v="-7.9241946515856736E-5"/>
    <n v="239753"/>
    <n v="7.36"/>
    <n v="11901"/>
    <n v="883"/>
  </r>
  <r>
    <d v="2024-09-23T00:00:00"/>
    <s v="Twitter"/>
    <n v="1911"/>
    <n v="231"/>
    <n v="1680"/>
    <n v="6.2960020387054219E-3"/>
    <n v="268516"/>
    <n v="8.5500000000000007"/>
    <n v="24018"/>
    <n v="5407"/>
  </r>
  <r>
    <d v="2024-09-23T00:00:00"/>
    <s v="YouTube"/>
    <n v="1218"/>
    <n v="212"/>
    <n v="1006"/>
    <n v="1.6181177719515528E-2"/>
    <n v="63177"/>
    <n v="8.1300000000000008"/>
    <n v="38883"/>
    <n v="3024"/>
  </r>
  <r>
    <d v="2024-09-30T00:00:00"/>
    <s v="Instagram"/>
    <n v="1433"/>
    <n v="408"/>
    <n v="1025"/>
    <n v="2.7759421954046647E-3"/>
    <n v="370269"/>
    <n v="3.3"/>
    <n v="30575"/>
    <n v="2414"/>
  </r>
  <r>
    <d v="2024-09-30T00:00:00"/>
    <s v="Facebook"/>
    <n v="250"/>
    <n v="429"/>
    <n v="-179"/>
    <n v="-3.9461907134448259E-4"/>
    <n v="453423"/>
    <n v="1.77"/>
    <n v="2315"/>
    <n v="1371"/>
  </r>
  <r>
    <d v="2024-09-30T00:00:00"/>
    <s v="Twitter"/>
    <n v="752"/>
    <n v="153"/>
    <n v="599"/>
    <n v="9.3146935792370964E-3"/>
    <n v="64906"/>
    <n v="2.09"/>
    <n v="12148"/>
    <n v="3671"/>
  </r>
  <r>
    <d v="2024-09-30T00:00:00"/>
    <s v="YouTube"/>
    <n v="1918"/>
    <n v="212"/>
    <n v="1706"/>
    <n v="1.8412588771126989E-2"/>
    <n v="94360"/>
    <n v="7.36"/>
    <n v="36851"/>
    <n v="497"/>
  </r>
  <r>
    <d v="2024-10-07T00:00:00"/>
    <s v="Instagram"/>
    <n v="1939"/>
    <n v="67"/>
    <n v="1872"/>
    <n v="1.0101936744176006E-2"/>
    <n v="187183"/>
    <n v="6.25"/>
    <n v="41215"/>
    <n v="5038"/>
  </r>
  <r>
    <d v="2024-10-07T00:00:00"/>
    <s v="Facebook"/>
    <n v="1929"/>
    <n v="267"/>
    <n v="1662"/>
    <n v="4.400306062202642E-3"/>
    <n v="379363"/>
    <n v="1.75"/>
    <n v="43836"/>
    <n v="2229"/>
  </r>
  <r>
    <d v="2024-10-07T00:00:00"/>
    <s v="Twitter"/>
    <n v="437"/>
    <n v="330"/>
    <n v="107"/>
    <n v="2.2461107647482362E-4"/>
    <n v="476486"/>
    <n v="4.97"/>
    <n v="4509"/>
    <n v="2640"/>
  </r>
  <r>
    <d v="2024-10-07T00:00:00"/>
    <s v="YouTube"/>
    <n v="307"/>
    <n v="189"/>
    <n v="118"/>
    <n v="1.0029834507730621E-3"/>
    <n v="117767"/>
    <n v="9.3000000000000007"/>
    <n v="27822"/>
    <n v="1274"/>
  </r>
  <r>
    <d v="2024-10-14T00:00:00"/>
    <s v="Instagram"/>
    <n v="1527"/>
    <n v="303"/>
    <n v="1224"/>
    <n v="3.1600878834898319E-3"/>
    <n v="388555"/>
    <n v="8.9"/>
    <n v="36397"/>
    <n v="1785"/>
  </r>
  <r>
    <d v="2024-10-14T00:00:00"/>
    <s v="Facebook"/>
    <n v="643"/>
    <n v="358"/>
    <n v="285"/>
    <n v="1.8116632976086045E-3"/>
    <n v="157599"/>
    <n v="3.88"/>
    <n v="7285"/>
    <n v="1566"/>
  </r>
  <r>
    <d v="2024-10-14T00:00:00"/>
    <s v="Twitter"/>
    <n v="201"/>
    <n v="221"/>
    <n v="-20"/>
    <n v="-6.45594463381882E-5"/>
    <n v="309772"/>
    <n v="5.9"/>
    <n v="33174"/>
    <n v="3534"/>
  </r>
  <r>
    <d v="2024-10-14T00:00:00"/>
    <s v="YouTube"/>
    <n v="414"/>
    <n v="47"/>
    <n v="367"/>
    <n v="1.8459743173164463E-3"/>
    <n v="199178"/>
    <n v="1.53"/>
    <n v="6742"/>
    <n v="3098"/>
  </r>
  <r>
    <d v="2024-10-21T00:00:00"/>
    <s v="Instagram"/>
    <n v="703"/>
    <n v="441"/>
    <n v="262"/>
    <n v="7.3424937014295445E-4"/>
    <n v="357089"/>
    <n v="6.5"/>
    <n v="32478"/>
    <n v="1886"/>
  </r>
  <r>
    <d v="2024-10-21T00:00:00"/>
    <s v="Facebook"/>
    <n v="508"/>
    <n v="69"/>
    <n v="439"/>
    <n v="1.904307465405804E-2"/>
    <n v="23492"/>
    <n v="3.16"/>
    <n v="42824"/>
    <n v="1241"/>
  </r>
  <r>
    <d v="2024-10-21T00:00:00"/>
    <s v="Twitter"/>
    <n v="697"/>
    <n v="61"/>
    <n v="636"/>
    <n v="2.4684553912074862E-3"/>
    <n v="258287"/>
    <n v="8.25"/>
    <n v="21208"/>
    <n v="1587"/>
  </r>
  <r>
    <d v="2024-10-21T00:00:00"/>
    <s v="YouTube"/>
    <n v="1707"/>
    <n v="223"/>
    <n v="1484"/>
    <n v="5.8099018893926222E-3"/>
    <n v="256910"/>
    <n v="5.41"/>
    <n v="44321"/>
    <n v="3034"/>
  </r>
  <r>
    <d v="2024-10-28T00:00:00"/>
    <s v="Instagram"/>
    <n v="642"/>
    <n v="66"/>
    <n v="576"/>
    <n v="1.6649997398437907E-3"/>
    <n v="346522"/>
    <n v="5.85"/>
    <n v="13116"/>
    <n v="4801"/>
  </r>
  <r>
    <d v="2024-10-28T00:00:00"/>
    <s v="Facebook"/>
    <n v="859"/>
    <n v="473"/>
    <n v="386"/>
    <n v="1.8415942672029236E-3"/>
    <n v="209987"/>
    <n v="4.46"/>
    <n v="30214"/>
    <n v="3818"/>
  </r>
  <r>
    <d v="2024-10-28T00:00:00"/>
    <s v="Twitter"/>
    <n v="191"/>
    <n v="154"/>
    <n v="37"/>
    <n v="1.538378382873275E-4"/>
    <n v="240550"/>
    <n v="5.22"/>
    <n v="15827"/>
    <n v="2697"/>
  </r>
  <r>
    <d v="2024-10-28T00:00:00"/>
    <s v="YouTube"/>
    <n v="1814"/>
    <n v="157"/>
    <n v="1657"/>
    <n v="5.4476115330242955E-3"/>
    <n v="305827"/>
    <n v="1.99"/>
    <n v="46643"/>
    <n v="779"/>
  </r>
  <r>
    <d v="2024-11-04T00:00:00"/>
    <s v="Instagram"/>
    <n v="1466"/>
    <n v="69"/>
    <n v="1397"/>
    <n v="2.609361574956106E-2"/>
    <n v="54935"/>
    <n v="6.85"/>
    <n v="36484"/>
    <n v="2615"/>
  </r>
  <r>
    <d v="2024-11-04T00:00:00"/>
    <s v="Facebook"/>
    <n v="947"/>
    <n v="407"/>
    <n v="540"/>
    <n v="1.6946705748699183E-3"/>
    <n v="319186"/>
    <n v="3.32"/>
    <n v="4996"/>
    <n v="4922"/>
  </r>
  <r>
    <d v="2024-11-04T00:00:00"/>
    <s v="Twitter"/>
    <n v="1821"/>
    <n v="218"/>
    <n v="1603"/>
    <n v="3.6641926318412166E-3"/>
    <n v="439080"/>
    <n v="5.68"/>
    <n v="36095"/>
    <n v="2017"/>
  </r>
  <r>
    <d v="2024-11-04T00:00:00"/>
    <s v="YouTube"/>
    <n v="1507"/>
    <n v="463"/>
    <n v="1044"/>
    <n v="4.0480806514152775E-3"/>
    <n v="258944"/>
    <n v="6.08"/>
    <n v="16443"/>
    <n v="5169"/>
  </r>
  <r>
    <d v="2024-11-11T00:00:00"/>
    <s v="Instagram"/>
    <n v="1075"/>
    <n v="173"/>
    <n v="902"/>
    <n v="1.7863862317548967E-2"/>
    <n v="51395"/>
    <n v="4.66"/>
    <n v="47812"/>
    <n v="2408"/>
  </r>
  <r>
    <d v="2024-11-11T00:00:00"/>
    <s v="Facebook"/>
    <n v="171"/>
    <n v="277"/>
    <n v="-106"/>
    <n v="-3.4238942598089728E-4"/>
    <n v="309483"/>
    <n v="8.6999999999999993"/>
    <n v="38452"/>
    <n v="3121"/>
  </r>
  <r>
    <d v="2024-11-11T00:00:00"/>
    <s v="Twitter"/>
    <n v="1487"/>
    <n v="337"/>
    <n v="1150"/>
    <n v="1.3348035517381463E-2"/>
    <n v="87305"/>
    <n v="2.46"/>
    <n v="30428"/>
    <n v="3901"/>
  </r>
  <r>
    <d v="2024-11-11T00:00:00"/>
    <s v="YouTube"/>
    <n v="454"/>
    <n v="105"/>
    <n v="349"/>
    <n v="2.8904606516373756E-3"/>
    <n v="121091"/>
    <n v="7.97"/>
    <n v="9269"/>
    <n v="2048"/>
  </r>
  <r>
    <d v="2024-11-18T00:00:00"/>
    <s v="Instagram"/>
    <n v="187"/>
    <n v="236"/>
    <n v="-49"/>
    <n v="-9.5822903629536917E-4"/>
    <n v="51087"/>
    <n v="9.41"/>
    <n v="29533"/>
    <n v="5401"/>
  </r>
  <r>
    <d v="2024-11-18T00:00:00"/>
    <s v="Facebook"/>
    <n v="513"/>
    <n v="441"/>
    <n v="72"/>
    <n v="2.1253044055789241E-4"/>
    <n v="338847"/>
    <n v="2.68"/>
    <n v="39997"/>
    <n v="2832"/>
  </r>
  <r>
    <d v="2024-11-18T00:00:00"/>
    <s v="Twitter"/>
    <n v="628"/>
    <n v="183"/>
    <n v="445"/>
    <n v="9.1361137230587303E-4"/>
    <n v="487523"/>
    <n v="7.32"/>
    <n v="5391"/>
    <n v="4805"/>
  </r>
  <r>
    <d v="2024-11-18T00:00:00"/>
    <s v="YouTube"/>
    <n v="278"/>
    <n v="218"/>
    <n v="60"/>
    <n v="1.9891590829976627E-4"/>
    <n v="301695"/>
    <n v="4.68"/>
    <n v="22373"/>
    <n v="2282"/>
  </r>
  <r>
    <d v="2024-11-25T00:00:00"/>
    <s v="Instagram"/>
    <n v="1854"/>
    <n v="161"/>
    <n v="1693"/>
    <n v="6.0297820659393885E-3"/>
    <n v="282466"/>
    <n v="5.17"/>
    <n v="1810"/>
    <n v="5576"/>
  </r>
  <r>
    <d v="2024-11-25T00:00:00"/>
    <s v="Facebook"/>
    <n v="1710"/>
    <n v="378"/>
    <n v="1332"/>
    <n v="3.9722183288650849E-3"/>
    <n v="336661"/>
    <n v="6.2"/>
    <n v="28498"/>
    <n v="2140"/>
  </r>
  <r>
    <d v="2024-11-25T00:00:00"/>
    <s v="Twitter"/>
    <n v="330"/>
    <n v="232"/>
    <n v="98"/>
    <n v="1.1091367973109091E-3"/>
    <n v="88455"/>
    <n v="2.69"/>
    <n v="39530"/>
    <n v="4043"/>
  </r>
  <r>
    <d v="2024-11-25T00:00:00"/>
    <s v="YouTube"/>
    <n v="1293"/>
    <n v="408"/>
    <n v="885"/>
    <n v="1.4355231143552312E-2"/>
    <n v="62535"/>
    <n v="8.9"/>
    <n v="37876"/>
    <n v="4509"/>
  </r>
  <r>
    <d v="2024-12-02T00:00:00"/>
    <s v="Instagram"/>
    <n v="1696"/>
    <n v="71"/>
    <n v="1625"/>
    <n v="3.8659916446999038E-3"/>
    <n v="421957"/>
    <n v="3.79"/>
    <n v="36103"/>
    <n v="578"/>
  </r>
  <r>
    <d v="2024-12-02T00:00:00"/>
    <s v="Facebook"/>
    <n v="1902"/>
    <n v="196"/>
    <n v="1706"/>
    <n v="3.6409191506798447E-3"/>
    <n v="470269"/>
    <n v="4.79"/>
    <n v="26103"/>
    <n v="5939"/>
  </r>
  <r>
    <d v="2024-12-02T00:00:00"/>
    <s v="Twitter"/>
    <n v="1441"/>
    <n v="268"/>
    <n v="1173"/>
    <n v="3.7994240941142936E-3"/>
    <n v="309904"/>
    <n v="6.37"/>
    <n v="3455"/>
    <n v="5735"/>
  </r>
  <r>
    <d v="2024-12-02T00:00:00"/>
    <s v="YouTube"/>
    <n v="452"/>
    <n v="161"/>
    <n v="291"/>
    <n v="1.3168433770923554E-3"/>
    <n v="221274"/>
    <n v="2.65"/>
    <n v="40888"/>
    <n v="5268"/>
  </r>
  <r>
    <d v="2024-12-09T00:00:00"/>
    <s v="Instagram"/>
    <n v="1494"/>
    <n v="375"/>
    <n v="1119"/>
    <n v="5.0980195629097436E-3"/>
    <n v="220616"/>
    <n v="1.81"/>
    <n v="22724"/>
    <n v="4277"/>
  </r>
  <r>
    <d v="2024-12-09T00:00:00"/>
    <s v="Facebook"/>
    <n v="1514"/>
    <n v="141"/>
    <n v="1373"/>
    <n v="3.9832893324436451E-2"/>
    <n v="35842"/>
    <n v="7.47"/>
    <n v="18601"/>
    <n v="4758"/>
  </r>
  <r>
    <d v="2024-12-09T00:00:00"/>
    <s v="Twitter"/>
    <n v="1937"/>
    <n v="210"/>
    <n v="1727"/>
    <n v="9.1472457627118642E-2"/>
    <n v="20607"/>
    <n v="4.2"/>
    <n v="20861"/>
    <n v="3021"/>
  </r>
  <r>
    <d v="2024-12-09T00:00:00"/>
    <s v="YouTube"/>
    <n v="736"/>
    <n v="163"/>
    <n v="573"/>
    <n v="1.2696063334079292E-3"/>
    <n v="451894"/>
    <n v="5.43"/>
    <n v="46625"/>
    <n v="3072"/>
  </r>
  <r>
    <d v="2024-12-16T00:00:00"/>
    <s v="Instagram"/>
    <n v="1502"/>
    <n v="70"/>
    <n v="1432"/>
    <n v="3.0854022981076056E-3"/>
    <n v="465553"/>
    <n v="3.32"/>
    <n v="20692"/>
    <n v="5024"/>
  </r>
  <r>
    <d v="2024-12-16T00:00:00"/>
    <s v="Facebook"/>
    <n v="1623"/>
    <n v="246"/>
    <n v="1377"/>
    <n v="3.3225717718935038E-3"/>
    <n v="415815"/>
    <n v="8.11"/>
    <n v="18656"/>
    <n v="5177"/>
  </r>
  <r>
    <d v="2024-12-16T00:00:00"/>
    <s v="Twitter"/>
    <n v="1592"/>
    <n v="233"/>
    <n v="1359"/>
    <n v="4.1709634649381259E-3"/>
    <n v="327183"/>
    <n v="6.66"/>
    <n v="13316"/>
    <n v="2634"/>
  </r>
  <r>
    <d v="2024-12-16T00:00:00"/>
    <s v="YouTube"/>
    <n v="1004"/>
    <n v="128"/>
    <n v="876"/>
    <n v="1.7949900107576456E-3"/>
    <n v="488901"/>
    <n v="8.09"/>
    <n v="49558"/>
    <n v="4348"/>
  </r>
  <r>
    <d v="2024-12-23T00:00:00"/>
    <s v="Instagram"/>
    <n v="1092"/>
    <n v="408"/>
    <n v="684"/>
    <n v="2.4418891082463737E-3"/>
    <n v="280795"/>
    <n v="8.44"/>
    <n v="4683"/>
    <n v="2462"/>
  </r>
  <r>
    <d v="2024-12-23T00:00:00"/>
    <s v="Facebook"/>
    <n v="1155"/>
    <n v="425"/>
    <n v="730"/>
    <n v="7.8819223252750582E-3"/>
    <n v="93347"/>
    <n v="2.02"/>
    <n v="47502"/>
    <n v="5472"/>
  </r>
  <r>
    <d v="2024-12-23T00:00:00"/>
    <s v="Twitter"/>
    <n v="1137"/>
    <n v="226"/>
    <n v="911"/>
    <n v="1.1357969279872333E-2"/>
    <n v="81119"/>
    <n v="7.74"/>
    <n v="35359"/>
    <n v="3123"/>
  </r>
  <r>
    <d v="2024-12-23T00:00:00"/>
    <s v="YouTube"/>
    <n v="1900"/>
    <n v="311"/>
    <n v="1589"/>
    <n v="6.7364761743259283E-2"/>
    <n v="25177"/>
    <n v="2.89"/>
    <n v="14154"/>
    <n v="2009"/>
  </r>
  <r>
    <d v="2024-12-30T00:00:00"/>
    <s v="Instagram"/>
    <n v="1814"/>
    <n v="49"/>
    <n v="1765"/>
    <n v="1.2694280022152058E-2"/>
    <n v="140804"/>
    <n v="1.76"/>
    <n v="4313"/>
    <n v="1611"/>
  </r>
  <r>
    <d v="2024-12-30T00:00:00"/>
    <s v="Facebook"/>
    <n v="1980"/>
    <n v="204"/>
    <n v="1776"/>
    <n v="4.7027048496643764E-3"/>
    <n v="379431"/>
    <n v="3.09"/>
    <n v="25140"/>
    <n v="4424"/>
  </r>
  <r>
    <d v="2024-12-30T00:00:00"/>
    <s v="Twitter"/>
    <n v="1786"/>
    <n v="257"/>
    <n v="1529"/>
    <n v="5.5945437647730353E-3"/>
    <n v="274831"/>
    <n v="4.68"/>
    <n v="9118"/>
    <n v="5152"/>
  </r>
  <r>
    <d v="2024-12-30T00:00:00"/>
    <s v="YouTube"/>
    <n v="1495"/>
    <n v="35"/>
    <n v="1460"/>
    <n v="1.0784060272556044E-2"/>
    <n v="136845"/>
    <n v="4.4800000000000004"/>
    <n v="39931"/>
    <n v="1732"/>
  </r>
  <r>
    <d v="2025-01-06T00:00:00"/>
    <s v="Instagram"/>
    <n v="1013"/>
    <n v="110"/>
    <n v="903"/>
    <n v="1.9399371400213544E-3"/>
    <n v="466382"/>
    <n v="5.3"/>
    <n v="37132"/>
    <n v="4893"/>
  </r>
  <r>
    <d v="2025-01-06T00:00:00"/>
    <s v="Facebook"/>
    <n v="816"/>
    <n v="196"/>
    <n v="620"/>
    <n v="6.51890482398957E-3"/>
    <n v="95728"/>
    <n v="8.1999999999999993"/>
    <n v="17951"/>
    <n v="4566"/>
  </r>
  <r>
    <d v="2025-01-06T00:00:00"/>
    <s v="Twitter"/>
    <n v="1633"/>
    <n v="445"/>
    <n v="1188"/>
    <n v="3.2110885265752712E-3"/>
    <n v="371156"/>
    <n v="2.2200000000000002"/>
    <n v="2798"/>
    <n v="4546"/>
  </r>
  <r>
    <d v="2025-01-06T00:00:00"/>
    <s v="YouTube"/>
    <n v="891"/>
    <n v="45"/>
    <n v="846"/>
    <n v="8.9463220675944331E-3"/>
    <n v="95410"/>
    <n v="8.33"/>
    <n v="15045"/>
    <n v="3489"/>
  </r>
  <r>
    <d v="2025-01-13T00:00:00"/>
    <s v="Instagram"/>
    <n v="1855"/>
    <n v="133"/>
    <n v="1722"/>
    <n v="4.9526734945684533E-3"/>
    <n v="349413"/>
    <n v="3.3"/>
    <n v="14548"/>
    <n v="2970"/>
  </r>
  <r>
    <d v="2025-01-13T00:00:00"/>
    <s v="Facebook"/>
    <n v="651"/>
    <n v="353"/>
    <n v="298"/>
    <n v="1.3279798218368011E-3"/>
    <n v="224699"/>
    <n v="5.61"/>
    <n v="45708"/>
    <n v="3419"/>
  </r>
  <r>
    <d v="2025-01-13T00:00:00"/>
    <s v="Twitter"/>
    <n v="118"/>
    <n v="262"/>
    <n v="-144"/>
    <n v="-2.9505778214900419E-4"/>
    <n v="487896"/>
    <n v="2.56"/>
    <n v="12350"/>
    <n v="5709"/>
  </r>
  <r>
    <d v="2025-01-13T00:00:00"/>
    <s v="YouTube"/>
    <n v="1331"/>
    <n v="430"/>
    <n v="901"/>
    <n v="6.6563238770685582E-2"/>
    <n v="14437"/>
    <n v="3.29"/>
    <n v="40868"/>
    <n v="2890"/>
  </r>
  <r>
    <d v="2025-01-20T00:00:00"/>
    <s v="Instagram"/>
    <n v="1748"/>
    <n v="176"/>
    <n v="1572"/>
    <n v="4.1140093533520543E-3"/>
    <n v="383681"/>
    <n v="9.24"/>
    <n v="43122"/>
    <n v="2675"/>
  </r>
  <r>
    <d v="2025-01-20T00:00:00"/>
    <s v="Facebook"/>
    <n v="663"/>
    <n v="236"/>
    <n v="427"/>
    <n v="8.9132327063455119E-4"/>
    <n v="479490"/>
    <n v="4.51"/>
    <n v="23853"/>
    <n v="3981"/>
  </r>
  <r>
    <d v="2025-01-20T00:00:00"/>
    <s v="Twitter"/>
    <n v="1040"/>
    <n v="149"/>
    <n v="891"/>
    <n v="7.2138155497801851E-3"/>
    <n v="124404"/>
    <n v="5.23"/>
    <n v="45380"/>
    <n v="4900"/>
  </r>
  <r>
    <d v="2025-01-20T00:00:00"/>
    <s v="YouTube"/>
    <n v="1166"/>
    <n v="442"/>
    <n v="724"/>
    <n v="2.1533199494386201E-3"/>
    <n v="336949"/>
    <n v="4.68"/>
    <n v="7705"/>
    <n v="4466"/>
  </r>
  <r>
    <d v="2025-01-27T00:00:00"/>
    <s v="Instagram"/>
    <n v="115"/>
    <n v="281"/>
    <n v="-166"/>
    <n v="-4.6442530166661538E-4"/>
    <n v="357265"/>
    <n v="9.23"/>
    <n v="25525"/>
    <n v="3139"/>
  </r>
  <r>
    <d v="2025-01-27T00:00:00"/>
    <s v="Facebook"/>
    <n v="1249"/>
    <n v="351"/>
    <n v="898"/>
    <n v="2.8026678401667868E-3"/>
    <n v="321307"/>
    <n v="6.37"/>
    <n v="20560"/>
    <n v="735"/>
  </r>
  <r>
    <d v="2025-01-27T00:00:00"/>
    <s v="Twitter"/>
    <n v="1501"/>
    <n v="75"/>
    <n v="1426"/>
    <n v="5.4606097042616498E-3"/>
    <n v="262569"/>
    <n v="2.0099999999999998"/>
    <n v="19119"/>
    <n v="3105"/>
  </r>
  <r>
    <d v="2025-01-27T00:00:00"/>
    <s v="YouTube"/>
    <n v="1411"/>
    <n v="186"/>
    <n v="1225"/>
    <n v="2.660475540999557E-3"/>
    <n v="461669"/>
    <n v="3.72"/>
    <n v="43999"/>
    <n v="2854"/>
  </r>
  <r>
    <d v="2025-02-03T00:00:00"/>
    <s v="Instagram"/>
    <n v="1556"/>
    <n v="476"/>
    <n v="1080"/>
    <n v="3.0815234138714207E-3"/>
    <n v="351556"/>
    <n v="3.89"/>
    <n v="10825"/>
    <n v="4406"/>
  </r>
  <r>
    <d v="2025-02-03T00:00:00"/>
    <s v="Facebook"/>
    <n v="1159"/>
    <n v="411"/>
    <n v="748"/>
    <n v="5.5309489126657251E-3"/>
    <n v="135987"/>
    <n v="8.6999999999999993"/>
    <n v="40323"/>
    <n v="2731"/>
  </r>
  <r>
    <d v="2025-02-03T00:00:00"/>
    <s v="Twitter"/>
    <n v="927"/>
    <n v="358"/>
    <n v="569"/>
    <n v="3.2149617199197672E-3"/>
    <n v="177554"/>
    <n v="6.95"/>
    <n v="48270"/>
    <n v="522"/>
  </r>
  <r>
    <d v="2025-02-03T00:00:00"/>
    <s v="YouTube"/>
    <n v="152"/>
    <n v="355"/>
    <n v="-203"/>
    <n v="-7.4916318840900623E-4"/>
    <n v="270766"/>
    <n v="9.48"/>
    <n v="18001"/>
    <n v="6130"/>
  </r>
  <r>
    <d v="2025-02-10T00:00:00"/>
    <s v="Instagram"/>
    <n v="1957"/>
    <n v="234"/>
    <n v="1723"/>
    <n v="7.8174979469426455E-3"/>
    <n v="222126"/>
    <n v="4.6100000000000003"/>
    <n v="3314"/>
    <n v="2119"/>
  </r>
  <r>
    <d v="2025-02-10T00:00:00"/>
    <s v="Facebook"/>
    <n v="1294"/>
    <n v="382"/>
    <n v="912"/>
    <n v="2.951437207526165E-3"/>
    <n v="309914"/>
    <n v="8.0299999999999994"/>
    <n v="23489"/>
    <n v="3979"/>
  </r>
  <r>
    <d v="2025-02-10T00:00:00"/>
    <s v="Twitter"/>
    <n v="1587"/>
    <n v="385"/>
    <n v="1202"/>
    <n v="9.5868559578880207E-3"/>
    <n v="126582"/>
    <n v="6.99"/>
    <n v="42832"/>
    <n v="3981"/>
  </r>
  <r>
    <d v="2025-02-10T00:00:00"/>
    <s v="YouTube"/>
    <n v="1707"/>
    <n v="263"/>
    <n v="1444"/>
    <n v="2.9844823452574837E-3"/>
    <n v="485280"/>
    <n v="9.0299999999999994"/>
    <n v="24494"/>
    <n v="4926"/>
  </r>
  <r>
    <d v="2025-02-17T00:00:00"/>
    <s v="Instagram"/>
    <n v="1138"/>
    <n v="173"/>
    <n v="965"/>
    <n v="2.1336434670711376E-3"/>
    <n v="453243"/>
    <n v="2.86"/>
    <n v="44097"/>
    <n v="2631"/>
  </r>
  <r>
    <d v="2025-02-17T00:00:00"/>
    <s v="Facebook"/>
    <n v="1895"/>
    <n v="305"/>
    <n v="1590"/>
    <n v="1.5380597231492498E-2"/>
    <n v="104967"/>
    <n v="3.85"/>
    <n v="31853"/>
    <n v="5473"/>
  </r>
  <r>
    <d v="2025-02-17T00:00:00"/>
    <s v="Twitter"/>
    <n v="362"/>
    <n v="399"/>
    <n v="-37"/>
    <n v="-2.5404236328057951E-4"/>
    <n v="145608"/>
    <n v="7.3"/>
    <n v="37636"/>
    <n v="3907"/>
  </r>
  <r>
    <d v="2025-02-17T00:00:00"/>
    <s v="YouTube"/>
    <n v="1662"/>
    <n v="487"/>
    <n v="1175"/>
    <n v="1.1211297170936501E-2"/>
    <n v="105980"/>
    <n v="9.08"/>
    <n v="22996"/>
    <n v="5624"/>
  </r>
  <r>
    <d v="2025-02-24T00:00:00"/>
    <s v="Instagram"/>
    <n v="1440"/>
    <n v="65"/>
    <n v="1375"/>
    <n v="1.0986903610895812E-2"/>
    <n v="126524"/>
    <n v="4.34"/>
    <n v="49772"/>
    <n v="1208"/>
  </r>
  <r>
    <d v="2025-02-24T00:00:00"/>
    <s v="Facebook"/>
    <n v="1884"/>
    <n v="177"/>
    <n v="1707"/>
    <n v="7.4625886920141118E-3"/>
    <n v="230448"/>
    <n v="7.8"/>
    <n v="22713"/>
    <n v="2204"/>
  </r>
  <r>
    <d v="2025-02-24T00:00:00"/>
    <s v="Twitter"/>
    <n v="861"/>
    <n v="153"/>
    <n v="708"/>
    <n v="2.2383883603805262E-3"/>
    <n v="317007"/>
    <n v="3.85"/>
    <n v="8718"/>
    <n v="2623"/>
  </r>
  <r>
    <d v="2025-02-24T00:00:00"/>
    <s v="YouTube"/>
    <n v="1063"/>
    <n v="47"/>
    <n v="1016"/>
    <n v="2.1933280515000334E-3"/>
    <n v="464239"/>
    <n v="6.58"/>
    <n v="39031"/>
    <n v="4775"/>
  </r>
  <r>
    <d v="2025-03-03T00:00:00"/>
    <s v="Instagram"/>
    <n v="1371"/>
    <n v="56"/>
    <n v="1315"/>
    <n v="5.1314269659413726E-3"/>
    <n v="257579"/>
    <n v="8.6199999999999992"/>
    <n v="33799"/>
    <n v="5154"/>
  </r>
  <r>
    <d v="2025-03-03T00:00:00"/>
    <s v="Facebook"/>
    <n v="345"/>
    <n v="464"/>
    <n v="-119"/>
    <n v="-3.242506811989101E-4"/>
    <n v="366881"/>
    <n v="4.55"/>
    <n v="20553"/>
    <n v="2590"/>
  </r>
  <r>
    <d v="2025-03-03T00:00:00"/>
    <s v="Twitter"/>
    <n v="946"/>
    <n v="47"/>
    <n v="899"/>
    <n v="1.9305268040440133E-3"/>
    <n v="466575"/>
    <n v="8.33"/>
    <n v="10002"/>
    <n v="2766"/>
  </r>
  <r>
    <d v="2025-03-03T00:00:00"/>
    <s v="YouTube"/>
    <n v="510"/>
    <n v="195"/>
    <n v="315"/>
    <n v="1.4048764823676851E-3"/>
    <n v="224534"/>
    <n v="9.4"/>
    <n v="30987"/>
    <n v="1775"/>
  </r>
  <r>
    <d v="2025-03-10T00:00:00"/>
    <s v="Instagram"/>
    <n v="393"/>
    <n v="181"/>
    <n v="212"/>
    <n v="4.5894399584352609E-4"/>
    <n v="462142"/>
    <n v="7.23"/>
    <n v="6296"/>
    <n v="5913"/>
  </r>
  <r>
    <d v="2025-03-10T00:00:00"/>
    <s v="Facebook"/>
    <n v="1098"/>
    <n v="190"/>
    <n v="908"/>
    <n v="2.6711067442503544E-3"/>
    <n v="340842"/>
    <n v="9.39"/>
    <n v="21539"/>
    <n v="4160"/>
  </r>
  <r>
    <d v="2025-03-10T00:00:00"/>
    <s v="Twitter"/>
    <n v="1399"/>
    <n v="49"/>
    <n v="1350"/>
    <n v="0.12139196115457243"/>
    <n v="12471"/>
    <n v="5.12"/>
    <n v="14722"/>
    <n v="5199"/>
  </r>
  <r>
    <d v="2025-03-10T00:00:00"/>
    <s v="YouTube"/>
    <n v="1658"/>
    <n v="416"/>
    <n v="1242"/>
    <n v="1.2783696155627605E-2"/>
    <n v="98397"/>
    <n v="6.11"/>
    <n v="11383"/>
    <n v="6061"/>
  </r>
  <r>
    <d v="2025-03-17T00:00:00"/>
    <s v="Instagram"/>
    <n v="1102"/>
    <n v="422"/>
    <n v="680"/>
    <n v="1.6599536189430002E-3"/>
    <n v="410330"/>
    <n v="7.74"/>
    <n v="9480"/>
    <n v="3493"/>
  </r>
  <r>
    <d v="2025-03-17T00:00:00"/>
    <s v="Facebook"/>
    <n v="1358"/>
    <n v="242"/>
    <n v="1116"/>
    <n v="3.2726025107547218E-3"/>
    <n v="342129"/>
    <n v="4.9400000000000004"/>
    <n v="29116"/>
    <n v="1695"/>
  </r>
  <r>
    <d v="2025-03-17T00:00:00"/>
    <s v="Twitter"/>
    <n v="1077"/>
    <n v="216"/>
    <n v="861"/>
    <n v="7.4313827032625582E-2"/>
    <n v="12447"/>
    <n v="1.8"/>
    <n v="14068"/>
    <n v="5645"/>
  </r>
  <r>
    <d v="2025-03-17T00:00:00"/>
    <s v="YouTube"/>
    <n v="1596"/>
    <n v="211"/>
    <n v="1385"/>
    <n v="8.6589559237261637E-2"/>
    <n v="17380"/>
    <n v="8.64"/>
    <n v="35801"/>
    <n v="3226"/>
  </r>
  <r>
    <d v="2025-03-24T00:00:00"/>
    <s v="Instagram"/>
    <n v="490"/>
    <n v="29"/>
    <n v="461"/>
    <n v="1.2652703863603304E-3"/>
    <n v="364810"/>
    <n v="1.53"/>
    <n v="49077"/>
    <n v="4282"/>
  </r>
  <r>
    <d v="2025-03-24T00:00:00"/>
    <s v="Facebook"/>
    <n v="609"/>
    <n v="135"/>
    <n v="474"/>
    <n v="1.2703279268462635E-3"/>
    <n v="373606"/>
    <n v="8.52"/>
    <n v="21453"/>
    <n v="4666"/>
  </r>
  <r>
    <d v="2025-03-24T00:00:00"/>
    <s v="Twitter"/>
    <n v="364"/>
    <n v="72"/>
    <n v="292"/>
    <n v="1.3852123834191975E-3"/>
    <n v="211090"/>
    <n v="5.53"/>
    <n v="21061"/>
    <n v="1797"/>
  </r>
  <r>
    <d v="2025-03-24T00:00:00"/>
    <s v="YouTube"/>
    <n v="442"/>
    <n v="53"/>
    <n v="389"/>
    <n v="8.8100339265573832E-4"/>
    <n v="441931"/>
    <n v="1.87"/>
    <n v="20059"/>
    <n v="3800"/>
  </r>
  <r>
    <d v="2025-03-31T00:00:00"/>
    <s v="Instagram"/>
    <n v="1033"/>
    <n v="392"/>
    <n v="641"/>
    <n v="2.2719297934705941E-3"/>
    <n v="282780"/>
    <n v="6.27"/>
    <n v="23140"/>
    <n v="2290"/>
  </r>
  <r>
    <d v="2025-03-31T00:00:00"/>
    <s v="Facebook"/>
    <n v="988"/>
    <n v="474"/>
    <n v="514"/>
    <n v="1.3908582190520517E-3"/>
    <n v="370070"/>
    <n v="9.4600000000000009"/>
    <n v="23461"/>
    <n v="4229"/>
  </r>
  <r>
    <d v="2025-03-31T00:00:00"/>
    <s v="Twitter"/>
    <n v="1946"/>
    <n v="270"/>
    <n v="1676"/>
    <n v="8.5217161393981913E-3"/>
    <n v="198350"/>
    <n v="7.5"/>
    <n v="11805"/>
    <n v="1109"/>
  </r>
  <r>
    <d v="2025-03-31T00:00:00"/>
    <s v="YouTube"/>
    <n v="1957"/>
    <n v="490"/>
    <n v="1467"/>
    <n v="3.3781683281175518E-3"/>
    <n v="435726"/>
    <n v="4.7300000000000004"/>
    <n v="15969"/>
    <n v="4108"/>
  </r>
  <r>
    <d v="2025-04-07T00:00:00"/>
    <s v="Instagram"/>
    <n v="559"/>
    <n v="392"/>
    <n v="167"/>
    <n v="2.1240874055607844E-3"/>
    <n v="78789"/>
    <n v="3.19"/>
    <n v="2436"/>
    <n v="3964"/>
  </r>
  <r>
    <d v="2025-04-07T00:00:00"/>
    <s v="Facebook"/>
    <n v="1307"/>
    <n v="278"/>
    <n v="1029"/>
    <n v="1.0546598747527339E-2"/>
    <n v="98596"/>
    <n v="2.4900000000000002"/>
    <n v="47603"/>
    <n v="908"/>
  </r>
  <r>
    <d v="2025-04-07T00:00:00"/>
    <s v="Twitter"/>
    <n v="1432"/>
    <n v="425"/>
    <n v="1007"/>
    <n v="3.5231964173255893E-2"/>
    <n v="29589"/>
    <n v="4.5"/>
    <n v="42964"/>
    <n v="4858"/>
  </r>
  <r>
    <d v="2025-04-07T00:00:00"/>
    <s v="YouTube"/>
    <n v="623"/>
    <n v="414"/>
    <n v="209"/>
    <n v="7.2032949042720017E-4"/>
    <n v="290354"/>
    <n v="6.49"/>
    <n v="39923"/>
    <n v="4353"/>
  </r>
  <r>
    <d v="2025-04-14T00:00:00"/>
    <s v="Instagram"/>
    <n v="198"/>
    <n v="358"/>
    <n v="-160"/>
    <n v="-2.3937045570150504E-3"/>
    <n v="66682"/>
    <n v="6.73"/>
    <n v="2293"/>
    <n v="1865"/>
  </r>
  <r>
    <d v="2025-04-14T00:00:00"/>
    <s v="Facebook"/>
    <n v="198"/>
    <n v="373"/>
    <n v="-175"/>
    <n v="-2.4688919612877742E-3"/>
    <n v="70707"/>
    <n v="4.83"/>
    <n v="25920"/>
    <n v="5226"/>
  </r>
  <r>
    <d v="2025-04-14T00:00:00"/>
    <s v="Twitter"/>
    <n v="353"/>
    <n v="300"/>
    <n v="53"/>
    <n v="3.7204992488803405E-4"/>
    <n v="142507"/>
    <n v="5.3"/>
    <n v="11035"/>
    <n v="1343"/>
  </r>
  <r>
    <d v="2025-04-14T00:00:00"/>
    <s v="YouTube"/>
    <n v="520"/>
    <n v="375"/>
    <n v="145"/>
    <n v="3.9254967783854025E-4"/>
    <n v="369525"/>
    <n v="6.54"/>
    <n v="20733"/>
    <n v="4377"/>
  </r>
  <r>
    <d v="2025-04-21T00:00:00"/>
    <s v="Instagram"/>
    <n v="961"/>
    <n v="358"/>
    <n v="603"/>
    <n v="9.6729174353133666E-3"/>
    <n v="62942"/>
    <n v="6.8"/>
    <n v="18693"/>
    <n v="4741"/>
  </r>
  <r>
    <d v="2025-04-21T00:00:00"/>
    <s v="Facebook"/>
    <n v="1375"/>
    <n v="330"/>
    <n v="1045"/>
    <n v="2.7767665682619565E-3"/>
    <n v="377382"/>
    <n v="2.6"/>
    <n v="7875"/>
    <n v="4735"/>
  </r>
  <r>
    <d v="2025-04-21T00:00:00"/>
    <s v="Twitter"/>
    <n v="1147"/>
    <n v="388"/>
    <n v="759"/>
    <n v="2.2786497424135072E-3"/>
    <n v="333851"/>
    <n v="2.44"/>
    <n v="8471"/>
    <n v="2340"/>
  </r>
  <r>
    <d v="2025-04-21T00:00:00"/>
    <s v="YouTube"/>
    <n v="1707"/>
    <n v="74"/>
    <n v="1633"/>
    <n v="6.0633064141836068E-3"/>
    <n v="270958"/>
    <n v="3.09"/>
    <n v="14090"/>
    <n v="3476"/>
  </r>
  <r>
    <d v="2025-04-28T00:00:00"/>
    <s v="Instagram"/>
    <n v="1693"/>
    <n v="154"/>
    <n v="1539"/>
    <n v="3.4630573463394878E-3"/>
    <n v="445944"/>
    <n v="5.69"/>
    <n v="14216"/>
    <n v="4385"/>
  </r>
  <r>
    <d v="2025-04-28T00:00:00"/>
    <s v="Facebook"/>
    <n v="833"/>
    <n v="380"/>
    <n v="453"/>
    <n v="2.0189235082027123E-3"/>
    <n v="224830"/>
    <n v="3.86"/>
    <n v="3582"/>
    <n v="2195"/>
  </r>
  <r>
    <d v="2025-04-28T00:00:00"/>
    <s v="Twitter"/>
    <n v="1222"/>
    <n v="274"/>
    <n v="948"/>
    <n v="1.9492496005888871E-3"/>
    <n v="487289"/>
    <n v="3.16"/>
    <n v="32500"/>
    <n v="5547"/>
  </r>
  <r>
    <d v="2025-04-28T00:00:00"/>
    <s v="YouTube"/>
    <n v="777"/>
    <n v="140"/>
    <n v="637"/>
    <n v="5.8992406001111317E-2"/>
    <n v="11435"/>
    <n v="1.6"/>
    <n v="6832"/>
    <n v="2034"/>
  </r>
  <r>
    <d v="2025-05-05T00:00:00"/>
    <s v="Instagram"/>
    <n v="1957"/>
    <n v="76"/>
    <n v="1881"/>
    <n v="4.2172902172767646E-3"/>
    <n v="447902"/>
    <n v="6.09"/>
    <n v="33381"/>
    <n v="5304"/>
  </r>
  <r>
    <d v="2025-05-05T00:00:00"/>
    <s v="Facebook"/>
    <n v="405"/>
    <n v="66"/>
    <n v="339"/>
    <n v="8.1031272334393834E-4"/>
    <n v="418696"/>
    <n v="5.59"/>
    <n v="48419"/>
    <n v="5128"/>
  </r>
  <r>
    <d v="2025-05-05T00:00:00"/>
    <s v="Twitter"/>
    <n v="1581"/>
    <n v="71"/>
    <n v="1510"/>
    <n v="3.1272392897231877E-3"/>
    <n v="484364"/>
    <n v="3.55"/>
    <n v="16149"/>
    <n v="1624"/>
  </r>
  <r>
    <d v="2025-05-05T00:00:00"/>
    <s v="YouTube"/>
    <n v="1035"/>
    <n v="171"/>
    <n v="864"/>
    <n v="5.8531430158590371E-3"/>
    <n v="148477"/>
    <n v="5.21"/>
    <n v="7541"/>
    <n v="2508"/>
  </r>
  <r>
    <d v="2025-05-12T00:00:00"/>
    <s v="Instagram"/>
    <n v="1765"/>
    <n v="109"/>
    <n v="1656"/>
    <n v="3.5487361913231685E-3"/>
    <n v="468301"/>
    <n v="1.82"/>
    <n v="20042"/>
    <n v="5585"/>
  </r>
  <r>
    <d v="2025-05-12T00:00:00"/>
    <s v="Facebook"/>
    <n v="837"/>
    <n v="430"/>
    <n v="407"/>
    <n v="1.1168646563102854E-3"/>
    <n v="364820"/>
    <n v="4"/>
    <n v="49400"/>
    <n v="1872"/>
  </r>
  <r>
    <d v="2025-05-12T00:00:00"/>
    <s v="Twitter"/>
    <n v="337"/>
    <n v="68"/>
    <n v="269"/>
    <n v="5.8987476673632601E-4"/>
    <n v="456298"/>
    <n v="7.57"/>
    <n v="4007"/>
    <n v="3004"/>
  </r>
  <r>
    <d v="2025-05-12T00:00:00"/>
    <s v="YouTube"/>
    <n v="119"/>
    <n v="456"/>
    <n v="-337"/>
    <n v="-4.0653839194161288E-3"/>
    <n v="82558"/>
    <n v="6.81"/>
    <n v="12174"/>
    <n v="441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s v="P001"/>
    <s v="Twitter"/>
    <d v="2024-12-23T00:00:00"/>
    <s v="Reel"/>
    <s v="Explore the latest reel on Myntra! Trendy styles await."/>
    <n v="1461"/>
    <n v="184"/>
    <n v="344"/>
    <n v="1989"/>
    <n v="9.0759753593429152E-2"/>
    <n v="21915"/>
    <n v="21675"/>
    <n v="15"/>
    <s v="#MyntraSale"/>
    <m/>
    <x v="0"/>
    <n v="5904"/>
    <n v="1047"/>
  </r>
  <r>
    <s v="P002"/>
    <s v="Twitter"/>
    <d v="2025-04-03T00:00:00"/>
    <s v="Text"/>
    <s v="Explore the latest text on Myntra! Trendy styles await."/>
    <n v="4054"/>
    <n v="389"/>
    <n v="493"/>
    <n v="4936"/>
    <n v="7.6097681302417369E-2"/>
    <n v="64864"/>
    <n v="64383"/>
    <n v="117"/>
    <s v="#MyntraFashion"/>
    <m/>
    <x v="1"/>
    <n v="9566"/>
    <n v="1002"/>
  </r>
  <r>
    <s v="P003"/>
    <s v="YouTube"/>
    <d v="2025-05-12T00:00:00"/>
    <s v="Reel"/>
    <s v="Explore the latest reel on Myntra! Trendy styles await."/>
    <n v="2795"/>
    <n v="105"/>
    <n v="49"/>
    <n v="2949"/>
    <n v="5.5531494209584788E-2"/>
    <n v="53105"/>
    <n v="52307"/>
    <n v="204"/>
    <s v="#MyntraFashion"/>
    <s v="#MyntraSale"/>
    <x v="0"/>
    <n v="26752"/>
    <n v="415"/>
  </r>
  <r>
    <s v="P004"/>
    <s v="Instagram"/>
    <d v="2024-08-12T00:00:00"/>
    <s v="Story"/>
    <s v="Explore the latest story on Myntra! Trendy styles await."/>
    <n v="2404"/>
    <n v="363"/>
    <n v="138"/>
    <n v="2905"/>
    <n v="0.15105033277870217"/>
    <n v="19232"/>
    <n v="18636"/>
    <n v="128"/>
    <s v="#MyntraSale"/>
    <m/>
    <x v="0"/>
    <n v="30671"/>
    <n v="1090"/>
  </r>
  <r>
    <s v="P005"/>
    <s v="YouTube"/>
    <d v="2024-06-26T00:00:00"/>
    <s v="Reel"/>
    <s v="Explore the latest reel on Myntra! Trendy styles await."/>
    <n v="3557"/>
    <n v="687"/>
    <n v="424"/>
    <n v="4668"/>
    <n v="6.5617093055946027E-2"/>
    <n v="71140"/>
    <n v="70701"/>
    <n v="224"/>
    <s v="#StyleWithMyntra"/>
    <s v="#MyntraFashion"/>
    <x v="2"/>
    <n v="9920"/>
    <n v="517"/>
  </r>
  <r>
    <s v="P006"/>
    <s v="Facebook"/>
    <d v="2024-10-31T00:00:00"/>
    <s v="Carousel"/>
    <s v="Explore the latest carousel on Myntra! Trendy styles await."/>
    <n v="2945"/>
    <n v="930"/>
    <n v="355"/>
    <n v="4230"/>
    <n v="0.17954159592529711"/>
    <n v="23560"/>
    <n v="23275"/>
    <n v="256"/>
    <s v="#MyntraTrend"/>
    <m/>
    <x v="1"/>
    <n v="7924"/>
    <n v="1283"/>
  </r>
  <r>
    <s v="P007"/>
    <s v="Twitter"/>
    <d v="2024-06-24T00:00:00"/>
    <s v="Carousel"/>
    <s v="Explore the latest carousel on Myntra! Trendy styles await."/>
    <n v="3860"/>
    <n v="201"/>
    <n v="279"/>
    <n v="4340"/>
    <n v="7.0272020725388601E-2"/>
    <n v="61760"/>
    <n v="61660"/>
    <n v="235"/>
    <s v="#MyntraTrend"/>
    <m/>
    <x v="2"/>
    <n v="8912"/>
    <n v="186"/>
  </r>
  <r>
    <s v="P008"/>
    <s v="YouTube"/>
    <d v="2024-07-13T00:00:00"/>
    <s v="Image"/>
    <s v="Explore the latest image on Myntra! Trendy styles await."/>
    <n v="3929"/>
    <n v="262"/>
    <n v="278"/>
    <n v="4469"/>
    <n v="0.10340359564080613"/>
    <n v="43219"/>
    <n v="42841"/>
    <n v="39"/>
    <s v="#MyntraFashion"/>
    <s v="#MyntraSale"/>
    <x v="2"/>
    <n v="21205"/>
    <n v="994"/>
  </r>
  <r>
    <s v="P009"/>
    <s v="Facebook"/>
    <d v="2024-08-30T00:00:00"/>
    <s v="Text"/>
    <s v="Explore the latest text on Myntra! Trendy styles await."/>
    <n v="3784"/>
    <n v="808"/>
    <n v="404"/>
    <n v="4996"/>
    <n v="8.8019732205778717E-2"/>
    <n v="56760"/>
    <n v="56343"/>
    <n v="131"/>
    <s v="#MyntraFashion"/>
    <s v="#MyntraSale"/>
    <x v="2"/>
    <n v="11329"/>
    <n v="893"/>
  </r>
  <r>
    <s v="P010"/>
    <s v="Facebook"/>
    <d v="2025-03-11T00:00:00"/>
    <s v="Image"/>
    <s v="Explore the latest image on Myntra! Trendy styles await."/>
    <n v="4241"/>
    <n v="902"/>
    <n v="47"/>
    <n v="5190"/>
    <n v="7.198635172059864E-2"/>
    <n v="72097"/>
    <n v="71598"/>
    <n v="167"/>
    <s v="#MyntraTrend"/>
    <m/>
    <x v="3"/>
    <n v="46670"/>
    <n v="1382"/>
  </r>
  <r>
    <s v="P011"/>
    <s v="Instagram"/>
    <d v="2025-02-02T00:00:00"/>
    <s v="Story"/>
    <s v="Explore the latest story on Myntra! Trendy styles await."/>
    <n v="1792"/>
    <n v="614"/>
    <n v="497"/>
    <n v="2903"/>
    <n v="0.11571269132653061"/>
    <n v="25088"/>
    <n v="24675"/>
    <n v="65"/>
    <s v="#StyleWithMyntra"/>
    <m/>
    <x v="0"/>
    <n v="22482"/>
    <n v="1295"/>
  </r>
  <r>
    <s v="P012"/>
    <s v="Facebook"/>
    <d v="2024-07-21T00:00:00"/>
    <s v="Reel"/>
    <s v="Explore the latest reel on Myntra! Trendy styles await."/>
    <n v="1946"/>
    <n v="686"/>
    <n v="377"/>
    <n v="3009"/>
    <n v="0.12885405960945528"/>
    <n v="23352"/>
    <n v="22982"/>
    <n v="213"/>
    <s v="#StyleWithMyntra"/>
    <s v="#MyntraSale"/>
    <x v="2"/>
    <n v="24313"/>
    <n v="337"/>
  </r>
  <r>
    <s v="P013"/>
    <s v="YouTube"/>
    <d v="2024-11-18T00:00:00"/>
    <s v="Carousel"/>
    <s v="Explore the latest carousel on Myntra! Trendy styles await."/>
    <n v="1171"/>
    <n v="286"/>
    <n v="231"/>
    <n v="1688"/>
    <n v="7.5868578363072495E-2"/>
    <n v="22249"/>
    <n v="21282"/>
    <n v="114"/>
    <s v="#MyntraFashion"/>
    <m/>
    <x v="3"/>
    <n v="18050"/>
    <n v="629"/>
  </r>
  <r>
    <s v="P014"/>
    <s v="Facebook"/>
    <d v="2025-02-16T00:00:00"/>
    <s v="Story"/>
    <s v="Explore the latest story on Myntra! Trendy styles await."/>
    <n v="4242"/>
    <n v="555"/>
    <n v="131"/>
    <n v="4928"/>
    <n v="0.14521452145214522"/>
    <n v="33936"/>
    <n v="33802"/>
    <n v="265"/>
    <s v="#MyntraSale"/>
    <s v="#MyntraFashion"/>
    <x v="2"/>
    <n v="30635"/>
    <n v="1670"/>
  </r>
  <r>
    <s v="P015"/>
    <s v="Facebook"/>
    <d v="2024-10-24T00:00:00"/>
    <s v="Video"/>
    <s v="Explore the latest video on Myntra! Trendy styles await."/>
    <n v="3888"/>
    <n v="604"/>
    <n v="128"/>
    <n v="4620"/>
    <n v="5.941358024691358E-2"/>
    <n v="77760"/>
    <n v="77167"/>
    <n v="20"/>
    <s v="#MyntraFashion"/>
    <s v="#FashionDeals"/>
    <x v="0"/>
    <n v="31280"/>
    <n v="835"/>
  </r>
  <r>
    <s v="P016"/>
    <s v="Facebook"/>
    <d v="2024-08-26T00:00:00"/>
    <s v="Text"/>
    <s v="Explore the latest text on Myntra! Trendy styles await."/>
    <n v="3452"/>
    <n v="377"/>
    <n v="360"/>
    <n v="4189"/>
    <n v="7.5843713789107758E-2"/>
    <n v="55232"/>
    <n v="55075"/>
    <n v="87"/>
    <s v="#MyntraSale"/>
    <s v="#FashionDeals"/>
    <x v="2"/>
    <n v="1783"/>
    <n v="-123"/>
  </r>
  <r>
    <s v="P017"/>
    <s v="Facebook"/>
    <d v="2025-05-05T00:00:00"/>
    <s v="Text"/>
    <s v="Explore the latest text on Myntra! Trendy styles await."/>
    <n v="4441"/>
    <n v="511"/>
    <n v="70"/>
    <n v="5022"/>
    <n v="9.4235532537716729E-2"/>
    <n v="53292"/>
    <n v="53082"/>
    <n v="159"/>
    <s v="#FashionDeals"/>
    <m/>
    <x v="2"/>
    <n v="9566"/>
    <n v="-219"/>
  </r>
  <r>
    <s v="P018"/>
    <s v="Instagram"/>
    <d v="2024-08-19T00:00:00"/>
    <s v="Reel"/>
    <s v="Explore the latest reel on Myntra! Trendy styles await."/>
    <n v="3000"/>
    <n v="382"/>
    <n v="325"/>
    <n v="3707"/>
    <n v="0.10297222222222223"/>
    <n v="36000"/>
    <n v="35819"/>
    <n v="19"/>
    <s v="#StyleWithMyntra"/>
    <m/>
    <x v="1"/>
    <n v="42307"/>
    <n v="64"/>
  </r>
  <r>
    <s v="P019"/>
    <s v="Instagram"/>
    <d v="2024-06-23T00:00:00"/>
    <s v="Video"/>
    <s v="Explore the latest video on Myntra! Trendy styles await."/>
    <n v="1071"/>
    <n v="519"/>
    <n v="22"/>
    <n v="1612"/>
    <n v="0.10034235916588857"/>
    <n v="16065"/>
    <n v="15865"/>
    <n v="103"/>
    <s v="#MyntraSale"/>
    <s v="#StyleWithMyntra"/>
    <x v="2"/>
    <n v="5914"/>
    <n v="1357"/>
  </r>
  <r>
    <s v="P020"/>
    <s v="Instagram"/>
    <d v="2024-09-09T00:00:00"/>
    <s v="Carousel"/>
    <s v="Explore the latest carousel on Myntra! Trendy styles await."/>
    <n v="4054"/>
    <n v="488"/>
    <n v="373"/>
    <n v="4915"/>
    <n v="6.3809622724794221E-2"/>
    <n v="77026"/>
    <n v="76881"/>
    <n v="25"/>
    <s v="#MyntraFashion"/>
    <s v="#MyntraSale"/>
    <x v="2"/>
    <n v="30060"/>
    <n v="91"/>
  </r>
  <r>
    <s v="P021"/>
    <s v="Instagram"/>
    <d v="2025-01-04T00:00:00"/>
    <s v="Reel"/>
    <s v="Explore the latest reel on Myntra! Trendy styles await."/>
    <n v="4838"/>
    <n v="640"/>
    <n v="128"/>
    <n v="5606"/>
    <n v="7.7249552156538517E-2"/>
    <n v="72570"/>
    <n v="72396"/>
    <n v="83"/>
    <s v="#StyleWithMyntra"/>
    <s v="#MyntraTrend"/>
    <x v="2"/>
    <n v="22728"/>
    <n v="1672"/>
  </r>
  <r>
    <s v="P022"/>
    <s v="Facebook"/>
    <d v="2025-02-27T00:00:00"/>
    <s v="Text"/>
    <s v="Explore the latest text on Myntra! Trendy styles await."/>
    <n v="1570"/>
    <n v="187"/>
    <n v="260"/>
    <n v="2017"/>
    <n v="8.0294585987261149E-2"/>
    <n v="25120"/>
    <n v="24613"/>
    <n v="133"/>
    <s v="#MyntraSale"/>
    <m/>
    <x v="3"/>
    <n v="38610"/>
    <n v="309"/>
  </r>
  <r>
    <s v="P023"/>
    <s v="Facebook"/>
    <d v="2024-11-06T00:00:00"/>
    <s v="Video"/>
    <s v="Explore the latest video on Myntra! Trendy styles await."/>
    <n v="1606"/>
    <n v="547"/>
    <n v="316"/>
    <n v="2469"/>
    <n v="7.6867995018679955E-2"/>
    <n v="32120"/>
    <n v="31736"/>
    <n v="225"/>
    <s v="#MyntraSale"/>
    <m/>
    <x v="2"/>
    <n v="2932"/>
    <n v="547"/>
  </r>
  <r>
    <s v="P024"/>
    <s v="Facebook"/>
    <d v="2025-01-23T00:00:00"/>
    <s v="Video"/>
    <s v="Explore the latest video on Myntra! Trendy styles await."/>
    <n v="3961"/>
    <n v="761"/>
    <n v="131"/>
    <n v="4853"/>
    <n v="7.2070332803659209E-2"/>
    <n v="67337"/>
    <n v="66615"/>
    <n v="161"/>
    <s v="#MyntraTrend"/>
    <m/>
    <x v="1"/>
    <n v="15071"/>
    <n v="514"/>
  </r>
  <r>
    <s v="P025"/>
    <s v="Twitter"/>
    <d v="2025-04-10T00:00:00"/>
    <s v="Carousel"/>
    <s v="Explore the latest carousel on Myntra! Trendy styles await."/>
    <n v="3128"/>
    <n v="211"/>
    <n v="197"/>
    <n v="3536"/>
    <n v="5.9496567505720827E-2"/>
    <n v="59432"/>
    <n v="59182"/>
    <n v="238"/>
    <s v="#StyleWithMyntra"/>
    <s v="#MyntraSale"/>
    <x v="0"/>
    <n v="10740"/>
    <n v="1845"/>
  </r>
  <r>
    <s v="P026"/>
    <s v="YouTube"/>
    <d v="2025-04-05T00:00:00"/>
    <s v="Reel"/>
    <s v="Explore the latest reel on Myntra! Trendy styles await."/>
    <n v="3009"/>
    <n v="413"/>
    <n v="358"/>
    <n v="3780"/>
    <n v="8.9730807577268201E-2"/>
    <n v="42126"/>
    <n v="41309"/>
    <n v="211"/>
    <s v="#MyntraSale"/>
    <m/>
    <x v="1"/>
    <n v="43420"/>
    <n v="-164"/>
  </r>
  <r>
    <s v="P027"/>
    <s v="YouTube"/>
    <d v="2024-09-17T00:00:00"/>
    <s v="Text"/>
    <s v="Explore the latest text on Myntra! Trendy styles await."/>
    <n v="2076"/>
    <n v="195"/>
    <n v="104"/>
    <n v="2375"/>
    <n v="7.1501685934489398E-2"/>
    <n v="33216"/>
    <n v="32244"/>
    <n v="51"/>
    <s v="#MyntraTrend"/>
    <m/>
    <x v="3"/>
    <n v="32393"/>
    <n v="429"/>
  </r>
  <r>
    <s v="P028"/>
    <s v="Instagram"/>
    <d v="2025-03-04T00:00:00"/>
    <s v="Video"/>
    <s v="Explore the latest video on Myntra! Trendy styles await."/>
    <n v="432"/>
    <n v="624"/>
    <n v="123"/>
    <n v="1179"/>
    <n v="0.17057291666666666"/>
    <n v="6912"/>
    <n v="6259"/>
    <n v="79"/>
    <s v="#MyntraSale"/>
    <s v="#MyntraTrend"/>
    <x v="1"/>
    <n v="28474"/>
    <n v="160"/>
  </r>
  <r>
    <s v="P029"/>
    <s v="Instagram"/>
    <d v="2025-01-31T00:00:00"/>
    <s v="Carousel"/>
    <s v="Explore the latest carousel on Myntra! Trendy styles await."/>
    <n v="2566"/>
    <n v="118"/>
    <n v="37"/>
    <n v="2721"/>
    <n v="0.21208106001558846"/>
    <n v="12830"/>
    <n v="12264"/>
    <n v="221"/>
    <s v="#MyntraTrend"/>
    <s v="#MyntraFashion"/>
    <x v="2"/>
    <n v="17328"/>
    <n v="159"/>
  </r>
  <r>
    <s v="P030"/>
    <s v="Instagram"/>
    <d v="2025-02-25T00:00:00"/>
    <s v="Video"/>
    <s v="Explore the latest video on Myntra! Trendy styles await."/>
    <n v="3095"/>
    <n v="39"/>
    <n v="78"/>
    <n v="3212"/>
    <n v="5.7655717106444085E-2"/>
    <n v="55710"/>
    <n v="54808"/>
    <n v="93"/>
    <s v="#MyntraSale"/>
    <m/>
    <x v="3"/>
    <n v="26067"/>
    <n v="961"/>
  </r>
  <r>
    <s v="P031"/>
    <s v="Instagram"/>
    <d v="2024-12-16T00:00:00"/>
    <s v="Text"/>
    <s v="Explore the latest text on Myntra! Trendy styles await."/>
    <n v="438"/>
    <n v="153"/>
    <n v="275"/>
    <n v="866"/>
    <n v="0.28245270711024134"/>
    <n v="3066"/>
    <n v="2701"/>
    <n v="282"/>
    <s v="#MyntraTrend"/>
    <m/>
    <x v="3"/>
    <n v="32763"/>
    <n v="1316"/>
  </r>
  <r>
    <s v="P032"/>
    <s v="Twitter"/>
    <d v="2024-07-31T00:00:00"/>
    <s v="Carousel"/>
    <s v="Explore the latest carousel on Myntra! Trendy styles await."/>
    <n v="2278"/>
    <n v="10"/>
    <n v="321"/>
    <n v="2609"/>
    <n v="0.19088381621305239"/>
    <n v="13668"/>
    <n v="12676"/>
    <n v="275"/>
    <s v="#MyntraTrend"/>
    <s v="#MyntraFashion"/>
    <x v="3"/>
    <n v="26452"/>
    <n v="317"/>
  </r>
  <r>
    <s v="P033"/>
    <s v="Facebook"/>
    <d v="2024-08-21T00:00:00"/>
    <s v="Image"/>
    <s v="Explore the latest image on Myntra! Trendy styles await."/>
    <n v="1407"/>
    <n v="400"/>
    <n v="351"/>
    <n v="2158"/>
    <n v="0.12781331438047855"/>
    <n v="16884"/>
    <n v="15954"/>
    <n v="113"/>
    <s v="#MyntraFashion"/>
    <s v="#FashionDeals"/>
    <x v="2"/>
    <n v="15353"/>
    <n v="541"/>
  </r>
  <r>
    <s v="P034"/>
    <s v="Facebook"/>
    <d v="2025-03-26T00:00:00"/>
    <s v="Text"/>
    <s v="Explore the latest text on Myntra! Trendy styles await."/>
    <n v="1652"/>
    <n v="89"/>
    <n v="357"/>
    <n v="2098"/>
    <n v="7.055421038471886E-2"/>
    <n v="29736"/>
    <n v="28771"/>
    <n v="215"/>
    <s v="#MyntraTrend"/>
    <s v="#FashionDeals"/>
    <x v="1"/>
    <n v="4839"/>
    <n v="-318"/>
  </r>
  <r>
    <s v="P035"/>
    <s v="Instagram"/>
    <d v="2024-11-30T00:00:00"/>
    <s v="Video"/>
    <s v="Explore the latest video on Myntra! Trendy styles await."/>
    <n v="3775"/>
    <n v="16"/>
    <n v="239"/>
    <n v="4030"/>
    <n v="0.11861662987490802"/>
    <n v="33975"/>
    <n v="33310"/>
    <n v="271"/>
    <s v="#StyleWithMyntra"/>
    <s v="#MyntraSale"/>
    <x v="2"/>
    <n v="39272"/>
    <n v="1495"/>
  </r>
  <r>
    <s v="P036"/>
    <s v="Instagram"/>
    <d v="2025-04-19T00:00:00"/>
    <s v="Story"/>
    <s v="Explore the latest story on Myntra! Trendy styles await."/>
    <n v="4518"/>
    <n v="285"/>
    <n v="383"/>
    <n v="5186"/>
    <n v="7.6523535487678915E-2"/>
    <n v="67770"/>
    <n v="67621"/>
    <n v="31"/>
    <s v="#FashionDeals"/>
    <m/>
    <x v="1"/>
    <n v="16804"/>
    <n v="475"/>
  </r>
  <r>
    <s v="P037"/>
    <s v="Facebook"/>
    <d v="2025-01-06T00:00:00"/>
    <s v="Carousel"/>
    <s v="Explore the latest carousel on Myntra! Trendy styles await."/>
    <n v="3024"/>
    <n v="925"/>
    <n v="350"/>
    <n v="4299"/>
    <n v="0.17770337301587302"/>
    <n v="24192"/>
    <n v="23518"/>
    <n v="36"/>
    <s v="#MyntraSale"/>
    <m/>
    <x v="2"/>
    <n v="49303"/>
    <n v="352"/>
  </r>
  <r>
    <s v="P038"/>
    <s v="YouTube"/>
    <d v="2025-02-17T00:00:00"/>
    <s v="Reel"/>
    <s v="Explore the latest reel on Myntra! Trendy styles await."/>
    <n v="3138"/>
    <n v="123"/>
    <n v="291"/>
    <n v="3552"/>
    <n v="0.12577012959422137"/>
    <n v="28242"/>
    <n v="27550"/>
    <n v="87"/>
    <s v="#FashionDeals"/>
    <m/>
    <x v="3"/>
    <n v="26455"/>
    <n v="-197"/>
  </r>
  <r>
    <s v="P039"/>
    <s v="Facebook"/>
    <d v="2024-11-25T00:00:00"/>
    <s v="Image"/>
    <s v="Explore the latest image on Myntra! Trendy styles await."/>
    <n v="3564"/>
    <n v="629"/>
    <n v="177"/>
    <n v="4370"/>
    <n v="7.2126493695121141E-2"/>
    <n v="60588"/>
    <n v="59627"/>
    <n v="92"/>
    <s v="#FashionDeals"/>
    <s v="#MyntraSale"/>
    <x v="2"/>
    <n v="12384"/>
    <n v="328"/>
  </r>
  <r>
    <s v="P040"/>
    <s v="Twitter"/>
    <d v="2025-03-07T00:00:00"/>
    <s v="Image"/>
    <s v="Explore the latest image on Myntra! Trendy styles await."/>
    <n v="4750"/>
    <n v="151"/>
    <n v="415"/>
    <n v="5316"/>
    <n v="0.13989473684210527"/>
    <n v="38000"/>
    <n v="37792"/>
    <n v="299"/>
    <s v="#StyleWithMyntra"/>
    <s v="#MyntraSale"/>
    <x v="1"/>
    <n v="49372"/>
    <n v="319"/>
  </r>
  <r>
    <s v="P041"/>
    <s v="Instagram"/>
    <d v="2025-03-08T00:00:00"/>
    <s v="Reel"/>
    <s v="Explore the latest reel on Myntra! Trendy styles await."/>
    <n v="456"/>
    <n v="629"/>
    <n v="428"/>
    <n v="1513"/>
    <n v="0.18433235867446393"/>
    <n v="8208"/>
    <n v="7377"/>
    <n v="205"/>
    <s v="#MyntraSale"/>
    <s v="#FashionDeals"/>
    <x v="2"/>
    <n v="47101"/>
    <n v="1325"/>
  </r>
  <r>
    <s v="P042"/>
    <s v="YouTube"/>
    <d v="2025-03-05T00:00:00"/>
    <s v="Reel"/>
    <s v="Explore the latest reel on Myntra! Trendy styles await."/>
    <n v="1543"/>
    <n v="820"/>
    <n v="333"/>
    <n v="2696"/>
    <n v="0.21840570317563188"/>
    <n v="12344"/>
    <n v="11496"/>
    <n v="241"/>
    <s v="#StyleWithMyntra"/>
    <m/>
    <x v="2"/>
    <n v="37903"/>
    <n v="1334"/>
  </r>
  <r>
    <s v="P043"/>
    <s v="Instagram"/>
    <d v="2024-12-14T00:00:00"/>
    <s v="Carousel"/>
    <s v="Explore the latest carousel on Myntra! Trendy styles await."/>
    <n v="2174"/>
    <n v="658"/>
    <n v="15"/>
    <n v="2847"/>
    <n v="0.21826126954921804"/>
    <n v="13044"/>
    <n v="12206"/>
    <n v="137"/>
    <s v="#MyntraSale"/>
    <s v="#MyntraFashion"/>
    <x v="3"/>
    <n v="33258"/>
    <n v="37"/>
  </r>
  <r>
    <s v="P044"/>
    <s v="Twitter"/>
    <d v="2025-03-02T00:00:00"/>
    <s v="Image"/>
    <s v="Explore the latest image on Myntra! Trendy styles await."/>
    <n v="2358"/>
    <n v="784"/>
    <n v="344"/>
    <n v="3486"/>
    <n v="9.8558100084817649E-2"/>
    <n v="35370"/>
    <n v="34475"/>
    <n v="216"/>
    <s v="#MyntraSale"/>
    <s v="#StyleWithMyntra"/>
    <x v="0"/>
    <n v="6915"/>
    <n v="1032"/>
  </r>
  <r>
    <s v="P045"/>
    <s v="Facebook"/>
    <d v="2024-11-01T00:00:00"/>
    <s v="Video"/>
    <s v="Explore the latest video on Myntra! Trendy styles await."/>
    <n v="3371"/>
    <n v="106"/>
    <n v="327"/>
    <n v="3804"/>
    <n v="7.5229902106199939E-2"/>
    <n v="50565"/>
    <n v="49816"/>
    <n v="176"/>
    <s v="#FashionDeals"/>
    <m/>
    <x v="3"/>
    <n v="35501"/>
    <n v="76"/>
  </r>
  <r>
    <s v="P046"/>
    <s v="Twitter"/>
    <d v="2025-05-02T00:00:00"/>
    <s v="Video"/>
    <s v="Explore the latest video on Myntra! Trendy styles await."/>
    <n v="1108"/>
    <n v="177"/>
    <n v="212"/>
    <n v="1497"/>
    <n v="0.16888537906137185"/>
    <n v="8864"/>
    <n v="8710"/>
    <n v="97"/>
    <s v="#MyntraFashion"/>
    <m/>
    <x v="3"/>
    <n v="14203"/>
    <n v="1058"/>
  </r>
  <r>
    <s v="P047"/>
    <s v="Twitter"/>
    <d v="2025-02-24T00:00:00"/>
    <s v="Carousel"/>
    <s v="Explore the latest carousel on Myntra! Trendy styles await."/>
    <n v="2704"/>
    <n v="752"/>
    <n v="153"/>
    <n v="3609"/>
    <n v="0.16683616863905326"/>
    <n v="21632"/>
    <n v="20792"/>
    <n v="127"/>
    <s v="#FashionDeals"/>
    <s v="#MyntraFashion"/>
    <x v="0"/>
    <n v="22206"/>
    <n v="1665"/>
  </r>
  <r>
    <s v="P048"/>
    <s v="Twitter"/>
    <d v="2025-03-11T00:00:00"/>
    <s v="Story"/>
    <s v="Explore the latest story on Myntra! Trendy styles await."/>
    <n v="1950"/>
    <n v="295"/>
    <n v="478"/>
    <n v="2723"/>
    <n v="7.349527665317139E-2"/>
    <n v="37050"/>
    <n v="36272"/>
    <n v="119"/>
    <s v="#MyntraFashion"/>
    <s v="#StyleWithMyntra"/>
    <x v="3"/>
    <n v="10283"/>
    <n v="190"/>
  </r>
  <r>
    <s v="P049"/>
    <s v="Twitter"/>
    <d v="2024-06-10T00:00:00"/>
    <s v="Story"/>
    <s v="Explore the latest story on Myntra! Trendy styles await."/>
    <n v="2164"/>
    <n v="549"/>
    <n v="274"/>
    <n v="2987"/>
    <n v="0.10617801791554102"/>
    <n v="28132"/>
    <n v="27361"/>
    <n v="177"/>
    <s v="#StyleWithMyntra"/>
    <m/>
    <x v="0"/>
    <n v="24913"/>
    <n v="1609"/>
  </r>
  <r>
    <s v="P050"/>
    <s v="YouTube"/>
    <d v="2024-07-03T00:00:00"/>
    <s v="Story"/>
    <s v="Explore the latest story on Myntra! Trendy styles await."/>
    <n v="2754"/>
    <n v="130"/>
    <n v="90"/>
    <n v="2974"/>
    <n v="0.13498547567175018"/>
    <n v="22032"/>
    <n v="21288"/>
    <n v="112"/>
    <s v="#MyntraFashion"/>
    <m/>
    <x v="0"/>
    <n v="26925"/>
    <n v="37"/>
  </r>
  <r>
    <s v="P051"/>
    <s v="Facebook"/>
    <d v="2024-06-13T00:00:00"/>
    <s v="Carousel"/>
    <s v="Explore the latest carousel on Myntra! Trendy styles await."/>
    <n v="2200"/>
    <n v="504"/>
    <n v="239"/>
    <n v="2943"/>
    <n v="7.8689839572192513E-2"/>
    <n v="37400"/>
    <n v="36938"/>
    <n v="225"/>
    <s v="#MyntraSale"/>
    <m/>
    <x v="2"/>
    <n v="9942"/>
    <n v="1229"/>
  </r>
  <r>
    <s v="P052"/>
    <s v="Facebook"/>
    <d v="2025-01-03T00:00:00"/>
    <s v="Image"/>
    <s v="Explore the latest image on Myntra! Trendy styles await."/>
    <n v="947"/>
    <n v="338"/>
    <n v="350"/>
    <n v="1635"/>
    <n v="0.1569549774407219"/>
    <n v="10417"/>
    <n v="9730"/>
    <n v="34"/>
    <s v="#MyntraFashion"/>
    <s v="#MyntraSale"/>
    <x v="2"/>
    <n v="32929"/>
    <n v="28"/>
  </r>
  <r>
    <s v="P053"/>
    <s v="YouTube"/>
    <d v="2025-02-24T00:00:00"/>
    <s v="Carousel"/>
    <s v="Explore the latest carousel on Myntra! Trendy styles await."/>
    <n v="804"/>
    <n v="639"/>
    <n v="43"/>
    <n v="1486"/>
    <n v="0.36965174129353234"/>
    <n v="4020"/>
    <n v="3144"/>
    <n v="11"/>
    <s v="#StyleWithMyntra"/>
    <s v="#MyntraTrend"/>
    <x v="3"/>
    <n v="37829"/>
    <n v="1247"/>
  </r>
  <r>
    <s v="P054"/>
    <s v="YouTube"/>
    <d v="2025-03-13T00:00:00"/>
    <s v="Carousel"/>
    <s v="Explore the latest carousel on Myntra! Trendy styles await."/>
    <n v="1686"/>
    <n v="904"/>
    <n v="472"/>
    <n v="3062"/>
    <n v="0.16510298716704411"/>
    <n v="18546"/>
    <n v="18171"/>
    <n v="52"/>
    <s v="#MyntraFashion"/>
    <s v="#FashionDeals"/>
    <x v="1"/>
    <n v="24384"/>
    <n v="1045"/>
  </r>
  <r>
    <s v="P055"/>
    <s v="Facebook"/>
    <d v="2024-06-17T00:00:00"/>
    <s v="Image"/>
    <s v="Explore the latest image on Myntra! Trendy styles await."/>
    <n v="1226"/>
    <n v="119"/>
    <n v="7"/>
    <n v="1352"/>
    <n v="9.1897770527460579E-2"/>
    <n v="14712"/>
    <n v="14049"/>
    <n v="123"/>
    <s v="#MyntraSale"/>
    <s v="#MyntraTrend"/>
    <x v="3"/>
    <n v="25797"/>
    <n v="197"/>
  </r>
  <r>
    <s v="P056"/>
    <s v="Facebook"/>
    <d v="2024-12-18T00:00:00"/>
    <s v="Carousel"/>
    <s v="Explore the latest carousel on Myntra! Trendy styles await."/>
    <n v="2946"/>
    <n v="498"/>
    <n v="367"/>
    <n v="3811"/>
    <n v="0.12936184657162253"/>
    <n v="29460"/>
    <n v="28527"/>
    <n v="60"/>
    <s v="#StyleWithMyntra"/>
    <s v="#FashionDeals"/>
    <x v="1"/>
    <n v="12646"/>
    <n v="333"/>
  </r>
  <r>
    <s v="P057"/>
    <s v="Twitter"/>
    <d v="2024-10-21T00:00:00"/>
    <s v="Video"/>
    <s v="Explore the latest video on Myntra! Trendy styles await."/>
    <n v="2825"/>
    <n v="535"/>
    <n v="295"/>
    <n v="3655"/>
    <n v="8.0862831858407078E-2"/>
    <n v="45200"/>
    <n v="44739"/>
    <n v="169"/>
    <s v="#StyleWithMyntra"/>
    <m/>
    <x v="1"/>
    <n v="26663"/>
    <n v="1572"/>
  </r>
  <r>
    <s v="P058"/>
    <s v="Instagram"/>
    <d v="2025-04-15T00:00:00"/>
    <s v="Reel"/>
    <s v="Explore the latest reel on Myntra! Trendy styles await."/>
    <n v="103"/>
    <n v="770"/>
    <n v="19"/>
    <n v="892"/>
    <n v="0.86601941747572819"/>
    <n v="1030"/>
    <n v="410"/>
    <n v="262"/>
    <s v="#MyntraSale"/>
    <m/>
    <x v="2"/>
    <n v="40478"/>
    <n v="1428"/>
  </r>
  <r>
    <s v="P059"/>
    <s v="Instagram"/>
    <d v="2024-06-22T00:00:00"/>
    <s v="Text"/>
    <s v="Explore the latest text on Myntra! Trendy styles await."/>
    <n v="2180"/>
    <n v="263"/>
    <n v="387"/>
    <n v="2830"/>
    <n v="9.2726081258191345E-2"/>
    <n v="30520"/>
    <n v="30059"/>
    <n v="174"/>
    <s v="#FashionDeals"/>
    <m/>
    <x v="0"/>
    <n v="15476"/>
    <n v="260"/>
  </r>
  <r>
    <s v="P060"/>
    <s v="Instagram"/>
    <d v="2025-01-28T00:00:00"/>
    <s v="Video"/>
    <s v="Explore the latest video on Myntra! Trendy styles await."/>
    <n v="904"/>
    <n v="973"/>
    <n v="63"/>
    <n v="1940"/>
    <n v="0.1650782845473111"/>
    <n v="11752"/>
    <n v="11580"/>
    <n v="84"/>
    <s v="#StyleWithMyntra"/>
    <m/>
    <x v="0"/>
    <n v="10217"/>
    <n v="1100"/>
  </r>
  <r>
    <s v="P061"/>
    <s v="Twitter"/>
    <d v="2024-09-05T00:00:00"/>
    <s v="Video"/>
    <s v="Explore the latest video on Myntra! Trendy styles await."/>
    <n v="4886"/>
    <n v="983"/>
    <n v="409"/>
    <n v="6278"/>
    <n v="0.14276618001546368"/>
    <n v="43974"/>
    <n v="43239"/>
    <n v="65"/>
    <s v="#MyntraFashion"/>
    <m/>
    <x v="0"/>
    <n v="21939"/>
    <n v="377"/>
  </r>
  <r>
    <s v="P062"/>
    <s v="Twitter"/>
    <d v="2024-11-22T00:00:00"/>
    <s v="Carousel"/>
    <s v="Explore the latest carousel on Myntra! Trendy styles await."/>
    <n v="53"/>
    <n v="81"/>
    <n v="379"/>
    <n v="513"/>
    <n v="0.53773584905660377"/>
    <n v="954"/>
    <n v="7"/>
    <n v="148"/>
    <s v="#FashionDeals"/>
    <m/>
    <x v="2"/>
    <n v="47462"/>
    <n v="98"/>
  </r>
  <r>
    <s v="P063"/>
    <s v="Twitter"/>
    <d v="2024-07-31T00:00:00"/>
    <s v="Carousel"/>
    <s v="Explore the latest carousel on Myntra! Trendy styles await."/>
    <n v="4507"/>
    <n v="217"/>
    <n v="13"/>
    <n v="4737"/>
    <n v="5.2551586421122697E-2"/>
    <n v="90140"/>
    <n v="89591"/>
    <n v="125"/>
    <s v="#MyntraSale"/>
    <m/>
    <x v="0"/>
    <n v="30270"/>
    <n v="1125"/>
  </r>
  <r>
    <s v="P064"/>
    <s v="Facebook"/>
    <d v="2024-08-17T00:00:00"/>
    <s v="Image"/>
    <s v="Explore the latest image on Myntra! Trendy styles await."/>
    <n v="2878"/>
    <n v="248"/>
    <n v="416"/>
    <n v="3542"/>
    <n v="8.2047718322909427E-2"/>
    <n v="43170"/>
    <n v="42667"/>
    <n v="75"/>
    <s v="#FashionDeals"/>
    <s v="#MyntraTrend"/>
    <x v="1"/>
    <n v="5442"/>
    <n v="-32"/>
  </r>
  <r>
    <s v="P065"/>
    <s v="Instagram"/>
    <d v="2025-03-28T00:00:00"/>
    <s v="Story"/>
    <s v="Explore the latest story on Myntra! Trendy styles await."/>
    <n v="1881"/>
    <n v="501"/>
    <n v="99"/>
    <n v="2481"/>
    <n v="0.11990720603160794"/>
    <n v="20691"/>
    <n v="19987"/>
    <n v="289"/>
    <s v="#FashionDeals"/>
    <m/>
    <x v="1"/>
    <n v="1083"/>
    <n v="666"/>
  </r>
  <r>
    <s v="P066"/>
    <s v="Twitter"/>
    <d v="2024-07-26T00:00:00"/>
    <s v="Carousel"/>
    <s v="Explore the latest carousel on Myntra! Trendy styles await."/>
    <n v="432"/>
    <n v="171"/>
    <n v="280"/>
    <n v="883"/>
    <n v="0.29199735449735448"/>
    <n v="3024"/>
    <n v="2285"/>
    <n v="184"/>
    <s v="#MyntraFashion"/>
    <m/>
    <x v="2"/>
    <n v="11901"/>
    <n v="-19"/>
  </r>
  <r>
    <s v="P067"/>
    <s v="Facebook"/>
    <d v="2025-03-29T00:00:00"/>
    <s v="Carousel"/>
    <s v="Explore the latest carousel on Myntra! Trendy styles await."/>
    <n v="4712"/>
    <n v="568"/>
    <n v="127"/>
    <n v="5407"/>
    <n v="6.3749764195434822E-2"/>
    <n v="84816"/>
    <n v="84691"/>
    <n v="100"/>
    <s v="#FashionDeals"/>
    <m/>
    <x v="0"/>
    <n v="24018"/>
    <n v="1680"/>
  </r>
  <r>
    <s v="P068"/>
    <s v="Instagram"/>
    <d v="2024-12-08T00:00:00"/>
    <s v="Story"/>
    <s v="Explore the latest story on Myntra! Trendy styles await."/>
    <n v="2610"/>
    <n v="126"/>
    <n v="288"/>
    <n v="3024"/>
    <n v="0.19310344827586207"/>
    <n v="15660"/>
    <n v="15145"/>
    <n v="73"/>
    <s v="#MyntraFashion"/>
    <m/>
    <x v="0"/>
    <n v="38883"/>
    <n v="1006"/>
  </r>
  <r>
    <s v="P069"/>
    <s v="Twitter"/>
    <d v="2025-03-08T00:00:00"/>
    <s v="Text"/>
    <s v="Explore the latest text on Myntra! Trendy styles await."/>
    <n v="1292"/>
    <n v="626"/>
    <n v="496"/>
    <n v="2414"/>
    <n v="9.3421052631578946E-2"/>
    <n v="25840"/>
    <n v="24916"/>
    <n v="149"/>
    <s v="#StyleWithMyntra"/>
    <s v="#MyntraTrend"/>
    <x v="3"/>
    <n v="30575"/>
    <n v="1025"/>
  </r>
  <r>
    <s v="P070"/>
    <s v="Facebook"/>
    <d v="2025-04-02T00:00:00"/>
    <s v="Video"/>
    <s v="Explore the latest video on Myntra! Trendy styles await."/>
    <n v="199"/>
    <n v="772"/>
    <n v="400"/>
    <n v="1371"/>
    <n v="0.38274706867671693"/>
    <n v="3582"/>
    <n v="2988"/>
    <n v="43"/>
    <s v="#MyntraTrend"/>
    <m/>
    <x v="0"/>
    <n v="2315"/>
    <n v="-179"/>
  </r>
  <r>
    <s v="P071"/>
    <s v="YouTube"/>
    <d v="2024-09-02T00:00:00"/>
    <s v="Carousel"/>
    <s v="Explore the latest carousel on Myntra! Trendy styles await."/>
    <n v="2551"/>
    <n v="915"/>
    <n v="205"/>
    <n v="3671"/>
    <n v="0.1199202926956749"/>
    <n v="30612"/>
    <n v="30360"/>
    <n v="227"/>
    <s v="#MyntraSale"/>
    <s v="#FashionDeals"/>
    <x v="1"/>
    <n v="12148"/>
    <n v="599"/>
  </r>
  <r>
    <s v="P072"/>
    <s v="YouTube"/>
    <d v="2025-03-03T00:00:00"/>
    <s v="Reel"/>
    <s v="Explore the latest reel on Myntra! Trendy styles await."/>
    <n v="296"/>
    <n v="60"/>
    <n v="141"/>
    <n v="497"/>
    <n v="8.837126600284495E-2"/>
    <n v="5624"/>
    <n v="5239"/>
    <n v="88"/>
    <s v="#MyntraTrend"/>
    <m/>
    <x v="3"/>
    <n v="36851"/>
    <n v="1706"/>
  </r>
  <r>
    <s v="P073"/>
    <s v="Facebook"/>
    <d v="2024-10-18T00:00:00"/>
    <s v="Story"/>
    <s v="Explore the latest story on Myntra! Trendy styles await."/>
    <n v="4126"/>
    <n v="426"/>
    <n v="486"/>
    <n v="5038"/>
    <n v="6.4265122330790625E-2"/>
    <n v="78394"/>
    <n v="77798"/>
    <n v="88"/>
    <s v="#MyntraFashion"/>
    <m/>
    <x v="0"/>
    <n v="41215"/>
    <n v="1872"/>
  </r>
  <r>
    <s v="P074"/>
    <s v="YouTube"/>
    <d v="2024-10-28T00:00:00"/>
    <s v="Reel"/>
    <s v="Explore the latest reel on Myntra! Trendy styles await."/>
    <n v="1855"/>
    <n v="200"/>
    <n v="174"/>
    <n v="2229"/>
    <n v="0.13351302785265048"/>
    <n v="16695"/>
    <n v="16330"/>
    <n v="123"/>
    <s v="#MyntraFashion"/>
    <m/>
    <x v="2"/>
    <n v="43836"/>
    <n v="1662"/>
  </r>
  <r>
    <s v="P075"/>
    <s v="Instagram"/>
    <d v="2024-08-01T00:00:00"/>
    <s v="Reel"/>
    <s v="Explore the latest reel on Myntra! Trendy styles await."/>
    <n v="1674"/>
    <n v="929"/>
    <n v="37"/>
    <n v="2640"/>
    <n v="0.12131237937689551"/>
    <n v="21762"/>
    <n v="20998"/>
    <n v="255"/>
    <s v="#StyleWithMyntra"/>
    <s v="#FashionDeals"/>
    <x v="2"/>
    <n v="4509"/>
    <n v="107"/>
  </r>
  <r>
    <s v="P076"/>
    <s v="Twitter"/>
    <d v="2024-11-07T00:00:00"/>
    <s v="Story"/>
    <s v="Explore the latest story on Myntra! Trendy styles await."/>
    <n v="1121"/>
    <n v="135"/>
    <n v="18"/>
    <n v="1274"/>
    <n v="8.1177520071364848E-2"/>
    <n v="15694"/>
    <n v="14957"/>
    <n v="99"/>
    <s v="#MyntraSale"/>
    <s v="#MyntraFashion"/>
    <x v="3"/>
    <n v="27822"/>
    <n v="118"/>
  </r>
  <r>
    <s v="P077"/>
    <s v="Facebook"/>
    <d v="2025-03-04T00:00:00"/>
    <s v="Story"/>
    <s v="Explore the latest story on Myntra! Trendy styles await."/>
    <n v="1249"/>
    <n v="116"/>
    <n v="420"/>
    <n v="1785"/>
    <n v="0.20416333066453163"/>
    <n v="8743"/>
    <n v="8538"/>
    <n v="63"/>
    <s v="#MyntraFashion"/>
    <s v="#FashionDeals"/>
    <x v="2"/>
    <n v="36397"/>
    <n v="1224"/>
  </r>
  <r>
    <s v="P078"/>
    <s v="Twitter"/>
    <d v="2024-06-17T00:00:00"/>
    <s v="Image"/>
    <s v="Explore the latest image on Myntra! Trendy styles await."/>
    <n v="954"/>
    <n v="324"/>
    <n v="288"/>
    <n v="1566"/>
    <n v="8.2075471698113203E-2"/>
    <n v="19080"/>
    <n v="18859"/>
    <n v="21"/>
    <s v="#MyntraTrend"/>
    <m/>
    <x v="2"/>
    <n v="7285"/>
    <n v="285"/>
  </r>
  <r>
    <s v="P079"/>
    <s v="Instagram"/>
    <d v="2024-10-09T00:00:00"/>
    <s v="Carousel"/>
    <s v="Explore the latest carousel on Myntra! Trendy styles await."/>
    <n v="3068"/>
    <n v="137"/>
    <n v="329"/>
    <n v="3534"/>
    <n v="8.860696018453515E-2"/>
    <n v="39884"/>
    <n v="39404"/>
    <n v="266"/>
    <s v="#MyntraSale"/>
    <s v="#MyntraTrend"/>
    <x v="2"/>
    <n v="33174"/>
    <n v="-20"/>
  </r>
  <r>
    <s v="P080"/>
    <s v="Instagram"/>
    <d v="2024-06-13T00:00:00"/>
    <s v="Story"/>
    <s v="Explore the latest story on Myntra! Trendy styles await."/>
    <n v="2103"/>
    <n v="892"/>
    <n v="103"/>
    <n v="3098"/>
    <n v="7.7533348349475686E-2"/>
    <n v="39957"/>
    <n v="39466"/>
    <n v="28"/>
    <s v="#FashionDeals"/>
    <s v="#MyntraFashion"/>
    <x v="1"/>
    <n v="6742"/>
    <n v="367"/>
  </r>
  <r>
    <s v="P081"/>
    <s v="Instagram"/>
    <d v="2024-10-19T00:00:00"/>
    <s v="Story"/>
    <s v="Explore the latest story on Myntra! Trendy styles await."/>
    <n v="1816"/>
    <n v="29"/>
    <n v="41"/>
    <n v="1886"/>
    <n v="9.4413295955146179E-2"/>
    <n v="19976"/>
    <n v="19262"/>
    <n v="283"/>
    <s v="#MyntraTrend"/>
    <s v="#MyntraSale"/>
    <x v="2"/>
    <n v="32478"/>
    <n v="262"/>
  </r>
  <r>
    <s v="P082"/>
    <s v="Instagram"/>
    <d v="2024-07-24T00:00:00"/>
    <s v="Image"/>
    <s v="Explore the latest image on Myntra! Trendy styles await."/>
    <n v="725"/>
    <n v="88"/>
    <n v="428"/>
    <n v="1241"/>
    <n v="8.558620689655172E-2"/>
    <n v="14500"/>
    <n v="13637"/>
    <n v="200"/>
    <s v="#MyntraTrend"/>
    <m/>
    <x v="2"/>
    <n v="42824"/>
    <n v="439"/>
  </r>
  <r>
    <s v="P083"/>
    <s v="YouTube"/>
    <d v="2024-10-15T00:00:00"/>
    <s v="Video"/>
    <s v="Explore the latest video on Myntra! Trendy styles await."/>
    <n v="1094"/>
    <n v="472"/>
    <n v="21"/>
    <n v="1587"/>
    <n v="0.16118220597196831"/>
    <n v="9846"/>
    <n v="9609"/>
    <n v="112"/>
    <s v="#MyntraTrend"/>
    <s v="#StyleWithMyntra"/>
    <x v="2"/>
    <n v="21208"/>
    <n v="636"/>
  </r>
  <r>
    <s v="P084"/>
    <s v="Facebook"/>
    <d v="2024-12-09T00:00:00"/>
    <s v="Image"/>
    <s v="Explore the latest image on Myntra! Trendy styles await."/>
    <n v="1841"/>
    <n v="851"/>
    <n v="342"/>
    <n v="3034"/>
    <n v="8.6737756939878216E-2"/>
    <n v="34979"/>
    <n v="34154"/>
    <n v="255"/>
    <s v="#MyntraFashion"/>
    <s v="#FashionDeals"/>
    <x v="0"/>
    <n v="44321"/>
    <n v="1484"/>
  </r>
  <r>
    <s v="P085"/>
    <s v="Instagram"/>
    <d v="2025-04-19T00:00:00"/>
    <s v="Image"/>
    <s v="Explore the latest image on Myntra! Trendy styles await."/>
    <n v="4177"/>
    <n v="569"/>
    <n v="55"/>
    <n v="4801"/>
    <n v="0.19156491900087783"/>
    <n v="25062"/>
    <n v="24847"/>
    <n v="230"/>
    <s v="#MyntraFashion"/>
    <m/>
    <x v="0"/>
    <n v="13116"/>
    <n v="576"/>
  </r>
  <r>
    <s v="P086"/>
    <s v="YouTube"/>
    <d v="2025-01-27T00:00:00"/>
    <s v="Text"/>
    <s v="Explore the latest text on Myntra! Trendy styles await."/>
    <n v="3428"/>
    <n v="305"/>
    <n v="85"/>
    <n v="3818"/>
    <n v="6.5515821264328367E-2"/>
    <n v="58276"/>
    <n v="58052"/>
    <n v="242"/>
    <s v="#MyntraTrend"/>
    <s v="#StyleWithMyntra"/>
    <x v="2"/>
    <n v="30214"/>
    <n v="386"/>
  </r>
  <r>
    <s v="P087"/>
    <s v="Twitter"/>
    <d v="2024-06-06T00:00:00"/>
    <s v="Video"/>
    <s v="Explore the latest video on Myntra! Trendy styles await."/>
    <n v="1436"/>
    <n v="765"/>
    <n v="496"/>
    <n v="2697"/>
    <n v="0.20868152274837512"/>
    <n v="12924"/>
    <n v="12701"/>
    <n v="197"/>
    <s v="#MyntraTrend"/>
    <s v="#MyntraSale"/>
    <x v="1"/>
    <n v="15827"/>
    <n v="37"/>
  </r>
  <r>
    <s v="P088"/>
    <s v="Facebook"/>
    <d v="2024-07-07T00:00:00"/>
    <s v="Story"/>
    <s v="Explore the latest story on Myntra! Trendy styles await."/>
    <n v="302"/>
    <n v="47"/>
    <n v="430"/>
    <n v="779"/>
    <n v="0.13576158940397351"/>
    <n v="5738"/>
    <n v="4890"/>
    <n v="25"/>
    <s v="#MyntraFashion"/>
    <s v="#MyntraSale"/>
    <x v="1"/>
    <n v="46643"/>
    <n v="1657"/>
  </r>
  <r>
    <s v="P089"/>
    <s v="Twitter"/>
    <d v="2025-01-10T00:00:00"/>
    <s v="Image"/>
    <s v="Explore the latest image on Myntra! Trendy styles await."/>
    <n v="2214"/>
    <n v="249"/>
    <n v="152"/>
    <n v="2615"/>
    <n v="0.16873144921925409"/>
    <n v="15498"/>
    <n v="14800"/>
    <n v="180"/>
    <s v="#MyntraSale"/>
    <m/>
    <x v="1"/>
    <n v="36484"/>
    <n v="1397"/>
  </r>
  <r>
    <s v="P090"/>
    <s v="Instagram"/>
    <d v="2024-06-03T00:00:00"/>
    <s v="Image"/>
    <s v="Explore the latest image on Myntra! Trendy styles await."/>
    <n v="3861"/>
    <n v="960"/>
    <n v="101"/>
    <n v="4922"/>
    <n v="7.0822181933293038E-2"/>
    <n v="69498"/>
    <n v="68817"/>
    <n v="297"/>
    <s v="#MyntraFashion"/>
    <m/>
    <x v="1"/>
    <n v="4996"/>
    <n v="540"/>
  </r>
  <r>
    <s v="P091"/>
    <s v="Facebook"/>
    <d v="2025-03-24T00:00:00"/>
    <s v="Image"/>
    <s v="Explore the latest image on Myntra! Trendy styles await."/>
    <n v="1263"/>
    <n v="397"/>
    <n v="357"/>
    <n v="2017"/>
    <n v="7.984956452889945E-2"/>
    <n v="25260"/>
    <n v="24615"/>
    <n v="137"/>
    <s v="#MyntraSale"/>
    <m/>
    <x v="1"/>
    <n v="36095"/>
    <n v="1603"/>
  </r>
  <r>
    <s v="P092"/>
    <s v="Twitter"/>
    <d v="2024-10-21T00:00:00"/>
    <s v="Story"/>
    <s v="Explore the latest story on Myntra! Trendy styles await."/>
    <n v="3801"/>
    <n v="967"/>
    <n v="401"/>
    <n v="5169"/>
    <n v="0.13599052880820836"/>
    <n v="38010"/>
    <n v="37625"/>
    <n v="236"/>
    <s v="#StyleWithMyntra"/>
    <m/>
    <x v="3"/>
    <n v="16443"/>
    <n v="1044"/>
  </r>
  <r>
    <s v="P093"/>
    <s v="Instagram"/>
    <d v="2024-12-11T00:00:00"/>
    <s v="Video"/>
    <s v="Explore the latest video on Myntra! Trendy styles await."/>
    <n v="1431"/>
    <n v="951"/>
    <n v="26"/>
    <n v="2408"/>
    <n v="0.28045655718611695"/>
    <n v="8586"/>
    <n v="8396"/>
    <n v="150"/>
    <s v="#MyntraTrend"/>
    <s v="#FashionDeals"/>
    <x v="0"/>
    <n v="47812"/>
    <n v="902"/>
  </r>
  <r>
    <s v="P094"/>
    <s v="Instagram"/>
    <d v="2024-11-07T00:00:00"/>
    <s v="Image"/>
    <s v="Explore the latest image on Myntra! Trendy styles await."/>
    <n v="2647"/>
    <n v="304"/>
    <n v="170"/>
    <n v="3121"/>
    <n v="0.16843866371633656"/>
    <n v="18529"/>
    <n v="17841"/>
    <n v="46"/>
    <s v="#StyleWithMyntra"/>
    <m/>
    <x v="1"/>
    <n v="38452"/>
    <n v="-106"/>
  </r>
  <r>
    <s v="P095"/>
    <s v="Instagram"/>
    <d v="2024-11-08T00:00:00"/>
    <s v="Text"/>
    <s v="Explore the latest text on Myntra! Trendy styles await."/>
    <n v="3182"/>
    <n v="559"/>
    <n v="160"/>
    <n v="3901"/>
    <n v="6.8108806480899509E-2"/>
    <n v="57276"/>
    <n v="56890"/>
    <n v="163"/>
    <s v="#StyleWithMyntra"/>
    <s v="#MyntraTrend"/>
    <x v="1"/>
    <n v="30428"/>
    <n v="1150"/>
  </r>
  <r>
    <s v="P096"/>
    <s v="Twitter"/>
    <d v="2024-09-10T00:00:00"/>
    <s v="Image"/>
    <s v="Explore the latest image on Myntra! Trendy styles await."/>
    <n v="1238"/>
    <n v="366"/>
    <n v="444"/>
    <n v="2048"/>
    <n v="0.10339256865912763"/>
    <n v="19808"/>
    <n v="19334"/>
    <n v="123"/>
    <s v="#FashionDeals"/>
    <m/>
    <x v="2"/>
    <n v="9269"/>
    <n v="349"/>
  </r>
  <r>
    <s v="P097"/>
    <s v="Instagram"/>
    <d v="2024-08-13T00:00:00"/>
    <s v="Image"/>
    <s v="Explore the latest image on Myntra! Trendy styles await."/>
    <n v="4739"/>
    <n v="527"/>
    <n v="135"/>
    <n v="5401"/>
    <n v="8.7668609086629767E-2"/>
    <n v="61607"/>
    <n v="61333"/>
    <n v="36"/>
    <s v="#StyleWithMyntra"/>
    <s v="#MyntraSale"/>
    <x v="1"/>
    <n v="29533"/>
    <n v="-49"/>
  </r>
  <r>
    <s v="P098"/>
    <s v="Twitter"/>
    <d v="2024-06-10T00:00:00"/>
    <s v="Story"/>
    <s v="Explore the latest story on Myntra! Trendy styles await."/>
    <n v="1575"/>
    <n v="771"/>
    <n v="486"/>
    <n v="2832"/>
    <n v="0.11238095238095239"/>
    <n v="25200"/>
    <n v="24826"/>
    <n v="17"/>
    <s v="#StyleWithMyntra"/>
    <m/>
    <x v="2"/>
    <n v="39997"/>
    <n v="72"/>
  </r>
  <r>
    <s v="P099"/>
    <s v="YouTube"/>
    <d v="2024-07-02T00:00:00"/>
    <s v="Carousel"/>
    <s v="Explore the latest carousel on Myntra! Trendy styles await."/>
    <n v="4171"/>
    <n v="548"/>
    <n v="86"/>
    <n v="4805"/>
    <n v="7.2000119875329657E-2"/>
    <n v="66736"/>
    <n v="66634"/>
    <n v="173"/>
    <s v="#StyleWithMyntra"/>
    <m/>
    <x v="2"/>
    <n v="5391"/>
    <n v="445"/>
  </r>
  <r>
    <s v="P100"/>
    <s v="YouTube"/>
    <d v="2025-02-10T00:00:00"/>
    <s v="Video"/>
    <s v="Explore the latest video on Myntra! Trendy styles await."/>
    <n v="1766"/>
    <n v="92"/>
    <n v="424"/>
    <n v="2282"/>
    <n v="9.2298980747451867E-2"/>
    <n v="24724"/>
    <n v="24333"/>
    <n v="52"/>
    <s v="#StyleWithMyntra"/>
    <m/>
    <x v="0"/>
    <n v="22373"/>
    <n v="60"/>
  </r>
  <r>
    <s v="P101"/>
    <s v="YouTube"/>
    <d v="2024-10-18T00:00:00"/>
    <s v="Video"/>
    <s v="Explore the latest video on Myntra! Trendy styles await."/>
    <n v="4450"/>
    <n v="983"/>
    <n v="143"/>
    <n v="5576"/>
    <n v="7.3707865168539333E-2"/>
    <n v="75650"/>
    <n v="75008"/>
    <n v="12"/>
    <s v="#MyntraSale"/>
    <s v="#StyleWithMyntra"/>
    <x v="1"/>
    <n v="1810"/>
    <n v="1693"/>
  </r>
  <r>
    <s v="P102"/>
    <s v="Twitter"/>
    <d v="2024-09-18T00:00:00"/>
    <s v="Reel"/>
    <s v="Explore the latest reel on Myntra! Trendy styles await."/>
    <n v="1000"/>
    <n v="978"/>
    <n v="162"/>
    <n v="2140"/>
    <n v="0.35666666666666669"/>
    <n v="6000"/>
    <n v="5221"/>
    <n v="223"/>
    <s v="#MyntraTrend"/>
    <s v="#MyntraFashion"/>
    <x v="2"/>
    <n v="28498"/>
    <n v="1332"/>
  </r>
  <r>
    <s v="P103"/>
    <s v="Facebook"/>
    <d v="2024-06-11T00:00:00"/>
    <s v="Image"/>
    <s v="Explore the latest image on Myntra! Trendy styles await."/>
    <n v="3689"/>
    <n v="48"/>
    <n v="306"/>
    <n v="4043"/>
    <n v="9.9632815002833983E-2"/>
    <n v="40579"/>
    <n v="39588"/>
    <n v="212"/>
    <s v="#MyntraTrend"/>
    <m/>
    <x v="0"/>
    <n v="39530"/>
    <n v="98"/>
  </r>
  <r>
    <s v="P104"/>
    <s v="YouTube"/>
    <d v="2025-03-23T00:00:00"/>
    <s v="Story"/>
    <s v="Explore the latest story on Myntra! Trendy styles await."/>
    <n v="3655"/>
    <n v="568"/>
    <n v="286"/>
    <n v="4509"/>
    <n v="0.13707250341997265"/>
    <n v="32895"/>
    <n v="32015"/>
    <n v="199"/>
    <s v="#MyntraTrend"/>
    <m/>
    <x v="3"/>
    <n v="37876"/>
    <n v="885"/>
  </r>
  <r>
    <s v="P105"/>
    <s v="Instagram"/>
    <d v="2024-06-14T00:00:00"/>
    <s v="Carousel"/>
    <s v="Explore the latest carousel on Myntra! Trendy styles await."/>
    <n v="498"/>
    <n v="38"/>
    <n v="42"/>
    <n v="578"/>
    <n v="0.12896028558679162"/>
    <n v="4482"/>
    <n v="3647"/>
    <n v="32"/>
    <s v="#StyleWithMyntra"/>
    <s v="#FashionDeals"/>
    <x v="3"/>
    <n v="36103"/>
    <n v="1625"/>
  </r>
  <r>
    <s v="P106"/>
    <s v="Instagram"/>
    <d v="2025-02-04T00:00:00"/>
    <s v="Image"/>
    <s v="Explore the latest image on Myntra! Trendy styles await."/>
    <n v="4619"/>
    <n v="821"/>
    <n v="499"/>
    <n v="5939"/>
    <n v="8.5718409468138843E-2"/>
    <n v="69285"/>
    <n v="69141"/>
    <n v="298"/>
    <s v="#MyntraFashion"/>
    <m/>
    <x v="0"/>
    <n v="26103"/>
    <n v="1706"/>
  </r>
  <r>
    <s v="P107"/>
    <s v="YouTube"/>
    <d v="2024-06-21T00:00:00"/>
    <s v="Image"/>
    <s v="Explore the latest image on Myntra! Trendy styles await."/>
    <n v="4832"/>
    <n v="893"/>
    <n v="10"/>
    <n v="5735"/>
    <n v="6.2467323109097243E-2"/>
    <n v="91808"/>
    <n v="91296"/>
    <n v="182"/>
    <s v="#MyntraSale"/>
    <s v="#StyleWithMyntra"/>
    <x v="2"/>
    <n v="3455"/>
    <n v="1173"/>
  </r>
  <r>
    <s v="P108"/>
    <s v="Twitter"/>
    <d v="2025-03-25T00:00:00"/>
    <s v="Video"/>
    <s v="Explore the latest video on Myntra! Trendy styles await."/>
    <n v="4050"/>
    <n v="871"/>
    <n v="347"/>
    <n v="5268"/>
    <n v="0.10005698005698006"/>
    <n v="52650"/>
    <n v="51755"/>
    <n v="209"/>
    <s v="#StyleWithMyntra"/>
    <s v="#FashionDeals"/>
    <x v="0"/>
    <n v="40888"/>
    <n v="291"/>
  </r>
  <r>
    <s v="P109"/>
    <s v="Twitter"/>
    <d v="2024-08-08T00:00:00"/>
    <s v="Story"/>
    <s v="Explore the latest story on Myntra! Trendy styles await."/>
    <n v="3649"/>
    <n v="215"/>
    <n v="413"/>
    <n v="4277"/>
    <n v="0.16744313510550835"/>
    <n v="25543"/>
    <n v="24963"/>
    <n v="167"/>
    <s v="#MyntraFashion"/>
    <s v="#StyleWithMyntra"/>
    <x v="0"/>
    <n v="22724"/>
    <n v="1119"/>
  </r>
  <r>
    <s v="P110"/>
    <s v="Instagram"/>
    <d v="2024-07-29T00:00:00"/>
    <s v="Reel"/>
    <s v="Explore the latest reel on Myntra! Trendy styles await."/>
    <n v="3523"/>
    <n v="753"/>
    <n v="482"/>
    <n v="4758"/>
    <n v="0.12277759141227776"/>
    <n v="38753"/>
    <n v="38579"/>
    <n v="270"/>
    <s v="#FashionDeals"/>
    <s v="#StyleWithMyntra"/>
    <x v="1"/>
    <n v="18601"/>
    <n v="1373"/>
  </r>
  <r>
    <s v="P111"/>
    <s v="YouTube"/>
    <d v="2024-11-23T00:00:00"/>
    <s v="Image"/>
    <s v="Explore the latest image on Myntra! Trendy styles await."/>
    <n v="2719"/>
    <n v="17"/>
    <n v="285"/>
    <n v="3021"/>
    <n v="7.4071349760941527E-2"/>
    <n v="40785"/>
    <n v="40281"/>
    <n v="40"/>
    <s v="#MyntraFashion"/>
    <s v="#StyleWithMyntra"/>
    <x v="2"/>
    <n v="20861"/>
    <n v="1727"/>
  </r>
  <r>
    <s v="P112"/>
    <s v="Twitter"/>
    <d v="2024-10-05T00:00:00"/>
    <s v="Story"/>
    <s v="Explore the latest story on Myntra! Trendy styles await."/>
    <n v="1957"/>
    <n v="877"/>
    <n v="238"/>
    <n v="3072"/>
    <n v="0.17441662408448305"/>
    <n v="17613"/>
    <n v="16865"/>
    <n v="297"/>
    <s v="#MyntraFashion"/>
    <s v="#MyntraSale"/>
    <x v="2"/>
    <n v="46625"/>
    <n v="573"/>
  </r>
  <r>
    <s v="P113"/>
    <s v="Twitter"/>
    <d v="2024-10-02T00:00:00"/>
    <s v="Carousel"/>
    <s v="Explore the latest carousel on Myntra! Trendy styles await."/>
    <n v="4419"/>
    <n v="236"/>
    <n v="369"/>
    <n v="5024"/>
    <n v="0.11369088028965829"/>
    <n v="44190"/>
    <n v="43582"/>
    <n v="10"/>
    <s v="#MyntraTrend"/>
    <m/>
    <x v="3"/>
    <n v="20692"/>
    <n v="1432"/>
  </r>
  <r>
    <s v="P114"/>
    <s v="Twitter"/>
    <d v="2024-11-14T00:00:00"/>
    <s v="Story"/>
    <s v="Explore the latest story on Myntra! Trendy styles await."/>
    <n v="4000"/>
    <n v="689"/>
    <n v="488"/>
    <n v="5177"/>
    <n v="0.12942500000000001"/>
    <n v="40000"/>
    <n v="39569"/>
    <n v="44"/>
    <s v="#FashionDeals"/>
    <s v="#MyntraFashion"/>
    <x v="2"/>
    <n v="18656"/>
    <n v="1377"/>
  </r>
  <r>
    <s v="P115"/>
    <s v="Twitter"/>
    <d v="2025-05-11T00:00:00"/>
    <s v="Image"/>
    <s v="Explore the latest image on Myntra! Trendy styles await."/>
    <n v="2493"/>
    <n v="97"/>
    <n v="44"/>
    <n v="2634"/>
    <n v="6.2150491965739366E-2"/>
    <n v="42381"/>
    <n v="41991"/>
    <n v="242"/>
    <s v="#MyntraSale"/>
    <s v="#StyleWithMyntra"/>
    <x v="0"/>
    <n v="13316"/>
    <n v="1359"/>
  </r>
  <r>
    <s v="P116"/>
    <s v="YouTube"/>
    <d v="2025-03-18T00:00:00"/>
    <s v="Reel"/>
    <s v="Explore the latest reel on Myntra! Trendy styles await."/>
    <n v="3704"/>
    <n v="186"/>
    <n v="458"/>
    <n v="4348"/>
    <n v="0.16769515581610614"/>
    <n v="25928"/>
    <n v="25081"/>
    <n v="131"/>
    <s v="#StyleWithMyntra"/>
    <m/>
    <x v="0"/>
    <n v="49558"/>
    <n v="876"/>
  </r>
  <r>
    <s v="P117"/>
    <s v="Twitter"/>
    <d v="2024-11-04T00:00:00"/>
    <s v="Image"/>
    <s v="Explore the latest image on Myntra! Trendy styles await."/>
    <n v="1606"/>
    <n v="451"/>
    <n v="405"/>
    <n v="2462"/>
    <n v="0.11792317271769326"/>
    <n v="20878"/>
    <n v="20190"/>
    <n v="219"/>
    <s v="#MyntraSale"/>
    <s v="#StyleWithMyntra"/>
    <x v="1"/>
    <n v="4683"/>
    <n v="684"/>
  </r>
  <r>
    <s v="P118"/>
    <s v="Facebook"/>
    <d v="2024-11-04T00:00:00"/>
    <s v="Image"/>
    <s v="Explore the latest image on Myntra! Trendy styles await."/>
    <n v="4551"/>
    <n v="714"/>
    <n v="207"/>
    <n v="5472"/>
    <n v="8.0158206987475278E-2"/>
    <n v="68265"/>
    <n v="67754"/>
    <n v="57"/>
    <s v="#MyntraTrend"/>
    <m/>
    <x v="1"/>
    <n v="47502"/>
    <n v="730"/>
  </r>
  <r>
    <s v="P119"/>
    <s v="Instagram"/>
    <d v="2025-02-07T00:00:00"/>
    <s v="Reel"/>
    <s v="Explore the latest reel on Myntra! Trendy styles await."/>
    <n v="1970"/>
    <n v="675"/>
    <n v="478"/>
    <n v="3123"/>
    <n v="0.31705583756345179"/>
    <n v="9850"/>
    <n v="8924"/>
    <n v="117"/>
    <s v="#MyntraTrend"/>
    <m/>
    <x v="3"/>
    <n v="35359"/>
    <n v="911"/>
  </r>
  <r>
    <s v="P120"/>
    <s v="Facebook"/>
    <d v="2024-10-21T00:00:00"/>
    <s v="Story"/>
    <s v="Explore the latest story on Myntra! Trendy styles await."/>
    <n v="780"/>
    <n v="928"/>
    <n v="301"/>
    <n v="2009"/>
    <n v="0.23414918414918415"/>
    <n v="8580"/>
    <n v="8081"/>
    <n v="91"/>
    <s v="#MyntraSale"/>
    <s v="#MyntraFashion"/>
    <x v="3"/>
    <n v="14154"/>
    <n v="1589"/>
  </r>
  <r>
    <s v="P121"/>
    <s v="Instagram"/>
    <d v="2024-07-29T00:00:00"/>
    <s v="Story"/>
    <s v="Explore the latest story on Myntra! Trendy styles await."/>
    <n v="498"/>
    <n v="701"/>
    <n v="412"/>
    <n v="1611"/>
    <n v="0.32349397590361445"/>
    <n v="4980"/>
    <n v="4185"/>
    <n v="185"/>
    <s v="#FashionDeals"/>
    <s v="#StyleWithMyntra"/>
    <x v="3"/>
    <n v="4313"/>
    <n v="1765"/>
  </r>
  <r>
    <s v="P122"/>
    <s v="Instagram"/>
    <d v="2024-10-02T00:00:00"/>
    <s v="Text"/>
    <s v="Explore the latest text on Myntra! Trendy styles await."/>
    <n v="3432"/>
    <n v="869"/>
    <n v="123"/>
    <n v="4424"/>
    <n v="8.0565268065268064E-2"/>
    <n v="54912"/>
    <n v="53916"/>
    <n v="264"/>
    <s v="#MyntraFashion"/>
    <s v="#MyntraTrend"/>
    <x v="1"/>
    <n v="25140"/>
    <n v="1776"/>
  </r>
  <r>
    <s v="P123"/>
    <s v="Instagram"/>
    <d v="2024-06-14T00:00:00"/>
    <s v="Story"/>
    <s v="Explore the latest story on Myntra! Trendy styles await."/>
    <n v="4363"/>
    <n v="649"/>
    <n v="140"/>
    <n v="5152"/>
    <n v="0.23616777446710979"/>
    <n v="21815"/>
    <n v="21481"/>
    <n v="157"/>
    <s v="#MyntraSale"/>
    <s v="#MyntraFashion"/>
    <x v="1"/>
    <n v="9118"/>
    <n v="1529"/>
  </r>
  <r>
    <s v="P124"/>
    <s v="YouTube"/>
    <d v="2025-04-06T00:00:00"/>
    <s v="Carousel"/>
    <s v="Explore the latest carousel on Myntra! Trendy styles await."/>
    <n v="736"/>
    <n v="771"/>
    <n v="225"/>
    <n v="1732"/>
    <n v="0.33618012422360249"/>
    <n v="5152"/>
    <n v="4706"/>
    <n v="19"/>
    <s v="#StyleWithMyntra"/>
    <m/>
    <x v="2"/>
    <n v="39931"/>
    <n v="1460"/>
  </r>
  <r>
    <s v="P125"/>
    <s v="Twitter"/>
    <d v="2024-09-08T00:00:00"/>
    <s v="Carousel"/>
    <s v="Explore the latest carousel on Myntra! Trendy styles await."/>
    <n v="3811"/>
    <n v="866"/>
    <n v="216"/>
    <n v="4893"/>
    <n v="0.14265722032712325"/>
    <n v="34299"/>
    <n v="34088"/>
    <n v="233"/>
    <s v="#StyleWithMyntra"/>
    <m/>
    <x v="2"/>
    <n v="37132"/>
    <n v="903"/>
  </r>
  <r>
    <s v="P126"/>
    <s v="Instagram"/>
    <d v="2025-03-28T00:00:00"/>
    <s v="Carousel"/>
    <s v="Explore the latest carousel on Myntra! Trendy styles await."/>
    <n v="4158"/>
    <n v="167"/>
    <n v="241"/>
    <n v="4566"/>
    <n v="9.9829463465827106E-2"/>
    <n v="45738"/>
    <n v="45183"/>
    <n v="142"/>
    <s v="#MyntraFashion"/>
    <m/>
    <x v="1"/>
    <n v="17951"/>
    <n v="620"/>
  </r>
  <r>
    <s v="P127"/>
    <s v="Facebook"/>
    <d v="2025-01-27T00:00:00"/>
    <s v="Reel"/>
    <s v="Explore the latest reel on Myntra! Trendy styles await."/>
    <n v="3452"/>
    <n v="652"/>
    <n v="442"/>
    <n v="4546"/>
    <n v="6.9311459413307311E-2"/>
    <n v="65588"/>
    <n v="65049"/>
    <n v="158"/>
    <s v="#MyntraSale"/>
    <s v="#StyleWithMyntra"/>
    <x v="0"/>
    <n v="2798"/>
    <n v="1188"/>
  </r>
  <r>
    <s v="P128"/>
    <s v="Twitter"/>
    <d v="2025-01-10T00:00:00"/>
    <s v="Image"/>
    <s v="Explore the latest image on Myntra! Trendy styles await."/>
    <n v="3092"/>
    <n v="106"/>
    <n v="291"/>
    <n v="3489"/>
    <n v="0.12537731780940059"/>
    <n v="27828"/>
    <n v="27217"/>
    <n v="102"/>
    <s v="#StyleWithMyntra"/>
    <m/>
    <x v="3"/>
    <n v="15045"/>
    <n v="846"/>
  </r>
  <r>
    <s v="P129"/>
    <s v="Twitter"/>
    <d v="2024-07-21T00:00:00"/>
    <s v="Text"/>
    <s v="Explore the latest text on Myntra! Trendy styles await."/>
    <n v="2147"/>
    <n v="430"/>
    <n v="393"/>
    <n v="2970"/>
    <n v="0.17291569632044715"/>
    <n v="17176"/>
    <n v="16483"/>
    <n v="170"/>
    <s v="#FashionDeals"/>
    <m/>
    <x v="3"/>
    <n v="14548"/>
    <n v="1722"/>
  </r>
  <r>
    <s v="P130"/>
    <s v="YouTube"/>
    <d v="2024-09-29T00:00:00"/>
    <s v="Reel"/>
    <s v="Explore the latest reel on Myntra! Trendy styles await."/>
    <n v="2936"/>
    <n v="439"/>
    <n v="44"/>
    <n v="3419"/>
    <n v="8.9577656675749323E-2"/>
    <n v="38168"/>
    <n v="37571"/>
    <n v="22"/>
    <s v="#MyntraSale"/>
    <m/>
    <x v="2"/>
    <n v="45708"/>
    <n v="298"/>
  </r>
  <r>
    <s v="P131"/>
    <s v="Instagram"/>
    <d v="2024-10-21T00:00:00"/>
    <s v="Reel"/>
    <s v="Explore the latest reel on Myntra! Trendy styles await."/>
    <n v="4840"/>
    <n v="658"/>
    <n v="211"/>
    <n v="5709"/>
    <n v="0.13106060606060607"/>
    <n v="43560"/>
    <n v="43225"/>
    <n v="57"/>
    <s v="#MyntraSale"/>
    <s v="#MyntraFashion"/>
    <x v="1"/>
    <n v="12350"/>
    <n v="-144"/>
  </r>
  <r>
    <s v="P132"/>
    <s v="Instagram"/>
    <d v="2025-03-04T00:00:00"/>
    <s v="Story"/>
    <s v="Explore the latest story on Myntra! Trendy styles await."/>
    <n v="1947"/>
    <n v="842"/>
    <n v="101"/>
    <n v="2890"/>
    <n v="0.13493953401503478"/>
    <n v="21417"/>
    <n v="20967"/>
    <n v="186"/>
    <s v="#MyntraFashion"/>
    <m/>
    <x v="1"/>
    <n v="40868"/>
    <n v="901"/>
  </r>
  <r>
    <s v="P133"/>
    <s v="Facebook"/>
    <d v="2025-02-06T00:00:00"/>
    <s v="Image"/>
    <s v="Explore the latest image on Myntra! Trendy styles await."/>
    <n v="2072"/>
    <n v="532"/>
    <n v="71"/>
    <n v="2675"/>
    <n v="7.172350922350923E-2"/>
    <n v="37296"/>
    <n v="36467"/>
    <n v="25"/>
    <s v="#MyntraSale"/>
    <m/>
    <x v="2"/>
    <n v="43122"/>
    <n v="1572"/>
  </r>
  <r>
    <s v="P134"/>
    <s v="Twitter"/>
    <d v="2025-04-24T00:00:00"/>
    <s v="Reel"/>
    <s v="Explore the latest reel on Myntra! Trendy styles await."/>
    <n v="3731"/>
    <n v="115"/>
    <n v="135"/>
    <n v="3981"/>
    <n v="7.1133744304476013E-2"/>
    <n v="55965"/>
    <n v="55436"/>
    <n v="103"/>
    <s v="#FashionDeals"/>
    <m/>
    <x v="3"/>
    <n v="23853"/>
    <n v="427"/>
  </r>
  <r>
    <s v="P135"/>
    <s v="Facebook"/>
    <d v="2024-11-28T00:00:00"/>
    <s v="Text"/>
    <s v="Explore the latest text on Myntra! Trendy styles await."/>
    <n v="4213"/>
    <n v="253"/>
    <n v="434"/>
    <n v="4900"/>
    <n v="6.461481657304112E-2"/>
    <n v="75834"/>
    <n v="75437"/>
    <n v="272"/>
    <s v="#MyntraTrend"/>
    <m/>
    <x v="2"/>
    <n v="45380"/>
    <n v="891"/>
  </r>
  <r>
    <s v="P136"/>
    <s v="Instagram"/>
    <d v="2024-07-11T00:00:00"/>
    <s v="Text"/>
    <s v="Explore the latest text on Myntra! Trendy styles await."/>
    <n v="3134"/>
    <n v="888"/>
    <n v="444"/>
    <n v="4466"/>
    <n v="0.20357370772176134"/>
    <n v="21938"/>
    <n v="21337"/>
    <n v="130"/>
    <s v="#MyntraSale"/>
    <s v="#MyntraFashion"/>
    <x v="3"/>
    <n v="7705"/>
    <n v="724"/>
  </r>
  <r>
    <s v="P137"/>
    <s v="Facebook"/>
    <d v="2024-07-31T00:00:00"/>
    <s v="Video"/>
    <s v="Explore the latest video on Myntra! Trendy styles await."/>
    <n v="3008"/>
    <n v="94"/>
    <n v="37"/>
    <n v="3139"/>
    <n v="0.20871010638297871"/>
    <n v="15040"/>
    <n v="14639"/>
    <n v="277"/>
    <s v="#FashionDeals"/>
    <m/>
    <x v="0"/>
    <n v="25525"/>
    <n v="-166"/>
  </r>
  <r>
    <s v="P138"/>
    <s v="Twitter"/>
    <d v="2025-03-29T00:00:00"/>
    <s v="Image"/>
    <s v="Explore the latest image on Myntra! Trendy styles await."/>
    <n v="305"/>
    <n v="187"/>
    <n v="243"/>
    <n v="735"/>
    <n v="0.16065573770491803"/>
    <n v="4575"/>
    <n v="3704"/>
    <n v="234"/>
    <s v="#MyntraFashion"/>
    <s v="#MyntraTrend"/>
    <x v="3"/>
    <n v="20560"/>
    <n v="898"/>
  </r>
  <r>
    <s v="P139"/>
    <s v="YouTube"/>
    <d v="2024-10-29T00:00:00"/>
    <s v="Text"/>
    <s v="Explore the latest text on Myntra! Trendy styles await."/>
    <n v="2746"/>
    <n v="156"/>
    <n v="203"/>
    <n v="3105"/>
    <n v="9.422796795338674E-2"/>
    <n v="32952"/>
    <n v="32147"/>
    <n v="147"/>
    <s v="#MyntraFashion"/>
    <s v="#StyleWithMyntra"/>
    <x v="1"/>
    <n v="19119"/>
    <n v="1426"/>
  </r>
  <r>
    <s v="P140"/>
    <s v="Facebook"/>
    <d v="2024-07-15T00:00:00"/>
    <s v="Image"/>
    <s v="Explore the latest image on Myntra! Trendy styles await."/>
    <n v="2291"/>
    <n v="78"/>
    <n v="485"/>
    <n v="2854"/>
    <n v="0.15571802706241816"/>
    <n v="18328"/>
    <n v="18101"/>
    <n v="10"/>
    <s v="#FashionDeals"/>
    <m/>
    <x v="0"/>
    <n v="43999"/>
    <n v="1225"/>
  </r>
  <r>
    <s v="P141"/>
    <s v="Twitter"/>
    <d v="2024-08-31T00:00:00"/>
    <s v="Image"/>
    <s v="Explore the latest image on Myntra! Trendy styles await."/>
    <n v="3170"/>
    <n v="857"/>
    <n v="379"/>
    <n v="4406"/>
    <n v="0.2316508937960042"/>
    <n v="19020"/>
    <n v="18559"/>
    <n v="240"/>
    <s v="#MyntraSale"/>
    <m/>
    <x v="2"/>
    <n v="10825"/>
    <n v="1080"/>
  </r>
  <r>
    <s v="P142"/>
    <s v="YouTube"/>
    <d v="2025-03-25T00:00:00"/>
    <s v="Story"/>
    <s v="Explore the latest story on Myntra! Trendy styles await."/>
    <n v="2070"/>
    <n v="275"/>
    <n v="386"/>
    <n v="2731"/>
    <n v="6.9438087973557078E-2"/>
    <n v="39330"/>
    <n v="38627"/>
    <n v="114"/>
    <s v="#MyntraSale"/>
    <m/>
    <x v="3"/>
    <n v="40323"/>
    <n v="748"/>
  </r>
  <r>
    <s v="P143"/>
    <s v="YouTube"/>
    <d v="2024-10-02T00:00:00"/>
    <s v="Carousel"/>
    <s v="Explore the latest carousel on Myntra! Trendy styles await."/>
    <n v="80"/>
    <n v="362"/>
    <n v="80"/>
    <n v="522"/>
    <n v="0.50192307692307692"/>
    <n v="1040"/>
    <n v="349"/>
    <n v="117"/>
    <s v="#MyntraFashion"/>
    <s v="#StyleWithMyntra"/>
    <x v="1"/>
    <n v="48270"/>
    <n v="569"/>
  </r>
  <r>
    <s v="P144"/>
    <s v="YouTube"/>
    <d v="2024-10-28T00:00:00"/>
    <s v="Story"/>
    <s v="Explore the latest story on Myntra! Trendy styles await."/>
    <n v="4929"/>
    <n v="749"/>
    <n v="452"/>
    <n v="6130"/>
    <n v="6.5455787978772245E-2"/>
    <n v="93651"/>
    <n v="92810"/>
    <n v="66"/>
    <s v="#MyntraTrend"/>
    <s v="#StyleWithMyntra"/>
    <x v="0"/>
    <n v="18001"/>
    <n v="-203"/>
  </r>
  <r>
    <s v="P145"/>
    <s v="Instagram"/>
    <d v="2024-08-12T00:00:00"/>
    <s v="Carousel"/>
    <s v="Explore the latest carousel on Myntra! Trendy styles await."/>
    <n v="1878"/>
    <n v="62"/>
    <n v="179"/>
    <n v="2119"/>
    <n v="5.6416400425985093E-2"/>
    <n v="37560"/>
    <n v="36874"/>
    <n v="142"/>
    <s v="#FashionDeals"/>
    <s v="#MyntraTrend"/>
    <x v="0"/>
    <n v="3314"/>
    <n v="1723"/>
  </r>
  <r>
    <s v="P146"/>
    <s v="YouTube"/>
    <d v="2024-06-05T00:00:00"/>
    <s v="Reel"/>
    <s v="Explore the latest reel on Myntra! Trendy styles await."/>
    <n v="3065"/>
    <n v="772"/>
    <n v="142"/>
    <n v="3979"/>
    <n v="0.21636759108210984"/>
    <n v="18390"/>
    <n v="17875"/>
    <n v="200"/>
    <s v="#StyleWithMyntra"/>
    <m/>
    <x v="0"/>
    <n v="23489"/>
    <n v="912"/>
  </r>
  <r>
    <s v="P147"/>
    <s v="Instagram"/>
    <d v="2024-10-21T00:00:00"/>
    <s v="Reel"/>
    <s v="Explore the latest reel on Myntra! Trendy styles await."/>
    <n v="3256"/>
    <n v="459"/>
    <n v="266"/>
    <n v="3981"/>
    <n v="0.15283323095823095"/>
    <n v="26048"/>
    <n v="25529"/>
    <n v="143"/>
    <s v="#MyntraSale"/>
    <s v="#StyleWithMyntra"/>
    <x v="2"/>
    <n v="42832"/>
    <n v="1202"/>
  </r>
  <r>
    <s v="P148"/>
    <s v="Instagram"/>
    <d v="2025-04-15T00:00:00"/>
    <s v="Video"/>
    <s v="Explore the latest video on Myntra! Trendy styles await."/>
    <n v="4133"/>
    <n v="466"/>
    <n v="327"/>
    <n v="4926"/>
    <n v="0.19864505202032423"/>
    <n v="24798"/>
    <n v="24620"/>
    <n v="176"/>
    <s v="#StyleWithMyntra"/>
    <m/>
    <x v="1"/>
    <n v="24494"/>
    <n v="1444"/>
  </r>
  <r>
    <s v="P149"/>
    <s v="Twitter"/>
    <d v="2024-06-16T00:00:00"/>
    <s v="Video"/>
    <s v="Explore the latest video on Myntra! Trendy styles await."/>
    <n v="1702"/>
    <n v="750"/>
    <n v="179"/>
    <n v="2631"/>
    <n v="7.7291421856639245E-2"/>
    <n v="34040"/>
    <n v="33174"/>
    <n v="76"/>
    <s v="#MyntraTrend"/>
    <m/>
    <x v="2"/>
    <n v="44097"/>
    <n v="965"/>
  </r>
  <r>
    <s v="P150"/>
    <s v="YouTube"/>
    <d v="2024-08-22T00:00:00"/>
    <s v="Carousel"/>
    <s v="Explore the latest carousel on Myntra! Trendy styles await."/>
    <n v="4295"/>
    <n v="853"/>
    <n v="325"/>
    <n v="5473"/>
    <n v="6.3713620488940623E-2"/>
    <n v="85900"/>
    <n v="85788"/>
    <n v="290"/>
    <s v="#MyntraTrend"/>
    <s v="#MyntraSale"/>
    <x v="1"/>
    <n v="31853"/>
    <n v="1590"/>
  </r>
  <r>
    <s v="P151"/>
    <s v="Instagram"/>
    <d v="2024-07-26T00:00:00"/>
    <s v="Image"/>
    <s v="Explore the latest image on Myntra! Trendy styles await."/>
    <n v="3559"/>
    <n v="59"/>
    <n v="289"/>
    <n v="3907"/>
    <n v="0.10977802753582468"/>
    <n v="35590"/>
    <n v="35105"/>
    <n v="122"/>
    <s v="#MyntraTrend"/>
    <s v="#StyleWithMyntra"/>
    <x v="2"/>
    <n v="37636"/>
    <n v="-37"/>
  </r>
  <r>
    <s v="P152"/>
    <s v="Facebook"/>
    <d v="2025-04-22T00:00:00"/>
    <s v="Image"/>
    <s v="Explore the latest image on Myntra! Trendy styles await."/>
    <n v="4804"/>
    <n v="550"/>
    <n v="270"/>
    <n v="5624"/>
    <n v="0.19511518179295032"/>
    <n v="28824"/>
    <n v="28370"/>
    <n v="47"/>
    <s v="#MyntraSale"/>
    <s v="#StyleWithMyntra"/>
    <x v="3"/>
    <n v="22996"/>
    <n v="1175"/>
  </r>
  <r>
    <s v="P153"/>
    <s v="Twitter"/>
    <d v="2025-01-01T00:00:00"/>
    <s v="Video"/>
    <s v="Explore the latest video on Myntra! Trendy styles await."/>
    <n v="754"/>
    <n v="197"/>
    <n v="257"/>
    <n v="1208"/>
    <n v="0.17801355732390214"/>
    <n v="6786"/>
    <n v="6221"/>
    <n v="212"/>
    <s v="#FashionDeals"/>
    <s v="#MyntraTrend"/>
    <x v="2"/>
    <n v="49772"/>
    <n v="1375"/>
  </r>
  <r>
    <s v="P154"/>
    <s v="Instagram"/>
    <d v="2024-10-09T00:00:00"/>
    <s v="Carousel"/>
    <s v="Explore the latest carousel on Myntra! Trendy styles await."/>
    <n v="985"/>
    <n v="932"/>
    <n v="287"/>
    <n v="2204"/>
    <n v="0.31965192168237855"/>
    <n v="6895"/>
    <n v="6757"/>
    <n v="64"/>
    <s v="#MyntraSale"/>
    <s v="#MyntraFashion"/>
    <x v="1"/>
    <n v="22713"/>
    <n v="1707"/>
  </r>
  <r>
    <s v="P155"/>
    <s v="YouTube"/>
    <d v="2024-12-21T00:00:00"/>
    <s v="Image"/>
    <s v="Explore the latest image on Myntra! Trendy styles await."/>
    <n v="2283"/>
    <n v="210"/>
    <n v="130"/>
    <n v="2623"/>
    <n v="0.11489268506351293"/>
    <n v="22830"/>
    <n v="22617"/>
    <n v="143"/>
    <s v="#MyntraFashion"/>
    <s v="#StyleWithMyntra"/>
    <x v="2"/>
    <n v="8718"/>
    <n v="708"/>
  </r>
  <r>
    <s v="P156"/>
    <s v="Facebook"/>
    <d v="2024-10-22T00:00:00"/>
    <s v="Carousel"/>
    <s v="Explore the latest carousel on Myntra! Trendy styles await."/>
    <n v="3352"/>
    <n v="941"/>
    <n v="482"/>
    <n v="4775"/>
    <n v="0.1095786671562328"/>
    <n v="43576"/>
    <n v="43338"/>
    <n v="240"/>
    <s v="#MyntraTrend"/>
    <m/>
    <x v="2"/>
    <n v="39031"/>
    <n v="1016"/>
  </r>
  <r>
    <s v="P157"/>
    <s v="YouTube"/>
    <d v="2024-07-23T00:00:00"/>
    <s v="Story"/>
    <s v="Explore the latest story on Myntra! Trendy styles await."/>
    <n v="4775"/>
    <n v="173"/>
    <n v="206"/>
    <n v="5154"/>
    <n v="0.10793717277486911"/>
    <n v="47750"/>
    <n v="47544"/>
    <n v="187"/>
    <s v="#StyleWithMyntra"/>
    <s v="#MyntraTrend"/>
    <x v="3"/>
    <n v="33799"/>
    <n v="1315"/>
  </r>
  <r>
    <s v="P158"/>
    <s v="Instagram"/>
    <d v="2024-08-11T00:00:00"/>
    <s v="Story"/>
    <s v="Explore the latest story on Myntra! Trendy styles await."/>
    <n v="1762"/>
    <n v="405"/>
    <n v="423"/>
    <n v="2590"/>
    <n v="0.11307081114118571"/>
    <n v="22906"/>
    <n v="21925"/>
    <n v="25"/>
    <s v="#FashionDeals"/>
    <m/>
    <x v="1"/>
    <n v="20553"/>
    <n v="-119"/>
  </r>
  <r>
    <s v="P159"/>
    <s v="Facebook"/>
    <d v="2024-11-25T00:00:00"/>
    <s v="Story"/>
    <s v="Explore the latest story on Myntra! Trendy styles await."/>
    <n v="2120"/>
    <n v="158"/>
    <n v="488"/>
    <n v="2766"/>
    <n v="0.21745283018867925"/>
    <n v="12720"/>
    <n v="12085"/>
    <n v="17"/>
    <s v="#StyleWithMyntra"/>
    <s v="#MyntraTrend"/>
    <x v="1"/>
    <n v="10002"/>
    <n v="899"/>
  </r>
  <r>
    <s v="P160"/>
    <s v="Twitter"/>
    <d v="2024-08-24T00:00:00"/>
    <s v="Video"/>
    <s v="Explore the latest video on Myntra! Trendy styles await."/>
    <n v="1082"/>
    <n v="209"/>
    <n v="484"/>
    <n v="1775"/>
    <n v="9.1137810638734856E-2"/>
    <n v="19476"/>
    <n v="18654"/>
    <n v="20"/>
    <s v="#StyleWithMyntra"/>
    <m/>
    <x v="3"/>
    <n v="30987"/>
    <n v="315"/>
  </r>
  <r>
    <s v="P161"/>
    <s v="Twitter"/>
    <d v="2025-02-19T00:00:00"/>
    <s v="Text"/>
    <s v="Explore the latest text on Myntra! Trendy styles await."/>
    <n v="4671"/>
    <n v="876"/>
    <n v="366"/>
    <n v="5913"/>
    <n v="0.11508145034156594"/>
    <n v="51381"/>
    <n v="50565"/>
    <n v="245"/>
    <s v="#MyntraSale"/>
    <m/>
    <x v="1"/>
    <n v="6296"/>
    <n v="212"/>
  </r>
  <r>
    <s v="P162"/>
    <s v="Facebook"/>
    <d v="2025-04-01T00:00:00"/>
    <s v="Story"/>
    <s v="Explore the latest story on Myntra! Trendy styles await."/>
    <n v="3430"/>
    <n v="566"/>
    <n v="164"/>
    <n v="4160"/>
    <n v="8.6630570595585168E-2"/>
    <n v="48020"/>
    <n v="47305"/>
    <n v="120"/>
    <s v="#MyntraTrend"/>
    <m/>
    <x v="1"/>
    <n v="21539"/>
    <n v="908"/>
  </r>
  <r>
    <s v="P163"/>
    <s v="Instagram"/>
    <d v="2025-04-08T00:00:00"/>
    <s v="Image"/>
    <s v="Explore the latest image on Myntra! Trendy styles await."/>
    <n v="4501"/>
    <n v="375"/>
    <n v="323"/>
    <n v="5199"/>
    <n v="0.23101532992668297"/>
    <n v="22505"/>
    <n v="21836"/>
    <n v="132"/>
    <s v="#MyntraFashion"/>
    <m/>
    <x v="3"/>
    <n v="14722"/>
    <n v="1350"/>
  </r>
  <r>
    <s v="P164"/>
    <s v="YouTube"/>
    <d v="2025-02-27T00:00:00"/>
    <s v="Text"/>
    <s v="Explore the latest text on Myntra! Trendy styles await."/>
    <n v="4934"/>
    <n v="971"/>
    <n v="156"/>
    <n v="6061"/>
    <n v="0.15355188488042157"/>
    <n v="39472"/>
    <n v="39025"/>
    <n v="169"/>
    <s v="#FashionDeals"/>
    <s v="#StyleWithMyntra"/>
    <x v="1"/>
    <n v="11383"/>
    <n v="1242"/>
  </r>
  <r>
    <s v="P165"/>
    <s v="Twitter"/>
    <d v="2024-12-11T00:00:00"/>
    <s v="Text"/>
    <s v="Explore the latest text on Myntra! Trendy styles await."/>
    <n v="3239"/>
    <n v="43"/>
    <n v="211"/>
    <n v="3493"/>
    <n v="0.15405989502933004"/>
    <n v="22673"/>
    <n v="22171"/>
    <n v="230"/>
    <s v="#MyntraTrend"/>
    <s v="#StyleWithMyntra"/>
    <x v="1"/>
    <n v="9480"/>
    <n v="680"/>
  </r>
  <r>
    <s v="P166"/>
    <s v="Twitter"/>
    <d v="2025-02-16T00:00:00"/>
    <s v="Reel"/>
    <s v="Explore the latest reel on Myntra! Trendy styles await."/>
    <n v="1076"/>
    <n v="313"/>
    <n v="306"/>
    <n v="1695"/>
    <n v="0.14320716458262928"/>
    <n v="11836"/>
    <n v="11596"/>
    <n v="104"/>
    <s v="#FashionDeals"/>
    <m/>
    <x v="1"/>
    <n v="29116"/>
    <n v="1116"/>
  </r>
  <r>
    <s v="P167"/>
    <s v="Instagram"/>
    <d v="2024-11-28T00:00:00"/>
    <s v="Text"/>
    <s v="Explore the latest text on Myntra! Trendy styles await."/>
    <n v="4771"/>
    <n v="818"/>
    <n v="56"/>
    <n v="5645"/>
    <n v="9.859917557465242E-2"/>
    <n v="57252"/>
    <n v="56378"/>
    <n v="150"/>
    <s v="#MyntraSale"/>
    <m/>
    <x v="1"/>
    <n v="14068"/>
    <n v="861"/>
  </r>
  <r>
    <s v="P168"/>
    <s v="Facebook"/>
    <d v="2024-11-12T00:00:00"/>
    <s v="Text"/>
    <s v="Explore the latest text on Myntra! Trendy styles await."/>
    <n v="2418"/>
    <n v="754"/>
    <n v="54"/>
    <n v="3226"/>
    <n v="7.412002573292896E-2"/>
    <n v="43524"/>
    <n v="42743"/>
    <n v="182"/>
    <s v="#MyntraFashion"/>
    <s v="#MyntraTrend"/>
    <x v="3"/>
    <n v="35801"/>
    <n v="1385"/>
  </r>
  <r>
    <s v="P169"/>
    <s v="YouTube"/>
    <d v="2024-12-03T00:00:00"/>
    <s v="Video"/>
    <s v="Explore the latest video on Myntra! Trendy styles await."/>
    <n v="3809"/>
    <n v="273"/>
    <n v="200"/>
    <n v="4282"/>
    <n v="0.12490884163239112"/>
    <n v="34281"/>
    <n v="33534"/>
    <n v="83"/>
    <s v="#MyntraTrend"/>
    <m/>
    <x v="2"/>
    <n v="49077"/>
    <n v="461"/>
  </r>
  <r>
    <s v="P170"/>
    <s v="Twitter"/>
    <d v="2025-04-28T00:00:00"/>
    <s v="Text"/>
    <s v="Explore the latest text on Myntra! Trendy styles await."/>
    <n v="3577"/>
    <n v="596"/>
    <n v="493"/>
    <n v="4666"/>
    <n v="6.8655003457763777E-2"/>
    <n v="67963"/>
    <n v="67839"/>
    <n v="53"/>
    <s v="#StyleWithMyntra"/>
    <s v="#MyntraTrend"/>
    <x v="3"/>
    <n v="21453"/>
    <n v="474"/>
  </r>
  <r>
    <s v="P171"/>
    <s v="YouTube"/>
    <d v="2024-12-31T00:00:00"/>
    <s v="Video"/>
    <s v="Explore the latest video on Myntra! Trendy styles await."/>
    <n v="1018"/>
    <n v="447"/>
    <n v="332"/>
    <n v="1797"/>
    <n v="9.8068107400130972E-2"/>
    <n v="18324"/>
    <n v="18164"/>
    <n v="38"/>
    <s v="#MyntraSale"/>
    <s v="#MyntraFashion"/>
    <x v="3"/>
    <n v="21061"/>
    <n v="292"/>
  </r>
  <r>
    <s v="P172"/>
    <s v="Facebook"/>
    <d v="2024-08-14T00:00:00"/>
    <s v="Carousel"/>
    <s v="Explore the latest carousel on Myntra! Trendy styles await."/>
    <n v="3073"/>
    <n v="553"/>
    <n v="174"/>
    <n v="3800"/>
    <n v="7.2739802071170159E-2"/>
    <n v="52241"/>
    <n v="51605"/>
    <n v="246"/>
    <s v="#MyntraFashion"/>
    <s v="#StyleWithMyntra"/>
    <x v="3"/>
    <n v="20059"/>
    <n v="389"/>
  </r>
  <r>
    <s v="P173"/>
    <s v="Twitter"/>
    <d v="2024-12-05T00:00:00"/>
    <s v="Video"/>
    <s v="Explore the latest video on Myntra! Trendy styles await."/>
    <n v="1330"/>
    <n v="925"/>
    <n v="35"/>
    <n v="2290"/>
    <n v="0.14348370927318296"/>
    <n v="15960"/>
    <n v="15379"/>
    <n v="229"/>
    <s v="#FashionDeals"/>
    <s v="#MyntraTrend"/>
    <x v="3"/>
    <n v="23140"/>
    <n v="641"/>
  </r>
  <r>
    <s v="P174"/>
    <s v="Facebook"/>
    <d v="2024-06-22T00:00:00"/>
    <s v="Text"/>
    <s v="Explore the latest text on Myntra! Trendy styles await."/>
    <n v="3828"/>
    <n v="148"/>
    <n v="253"/>
    <n v="4229"/>
    <n v="0.13809430512016718"/>
    <n v="30624"/>
    <n v="30229"/>
    <n v="235"/>
    <s v="#MyntraSale"/>
    <s v="#StyleWithMyntra"/>
    <x v="3"/>
    <n v="23461"/>
    <n v="514"/>
  </r>
  <r>
    <s v="P175"/>
    <s v="Instagram"/>
    <d v="2025-01-17T00:00:00"/>
    <s v="Reel"/>
    <s v="Explore the latest reel on Myntra! Trendy styles await."/>
    <n v="142"/>
    <n v="784"/>
    <n v="183"/>
    <n v="1109"/>
    <n v="0.6508215962441315"/>
    <n v="1704"/>
    <n v="995"/>
    <n v="154"/>
    <s v="#MyntraSale"/>
    <m/>
    <x v="0"/>
    <n v="11805"/>
    <n v="1676"/>
  </r>
  <r>
    <s v="P176"/>
    <s v="Facebook"/>
    <d v="2024-06-20T00:00:00"/>
    <s v="Video"/>
    <s v="Explore the latest video on Myntra! Trendy styles await."/>
    <n v="3798"/>
    <n v="31"/>
    <n v="279"/>
    <n v="4108"/>
    <n v="5.4081095313322801E-2"/>
    <n v="75960"/>
    <n v="75813"/>
    <n v="266"/>
    <s v="#MyntraFashion"/>
    <m/>
    <x v="1"/>
    <n v="15969"/>
    <n v="1467"/>
  </r>
  <r>
    <s v="P177"/>
    <s v="Instagram"/>
    <d v="2024-07-10T00:00:00"/>
    <s v="Carousel"/>
    <s v="Explore the latest carousel on Myntra! Trendy styles await."/>
    <n v="3099"/>
    <n v="694"/>
    <n v="171"/>
    <n v="3964"/>
    <n v="9.1365878393951966E-2"/>
    <n v="43386"/>
    <n v="42921"/>
    <n v="52"/>
    <s v="#FashionDeals"/>
    <m/>
    <x v="3"/>
    <n v="2436"/>
    <n v="167"/>
  </r>
  <r>
    <s v="P178"/>
    <s v="Instagram"/>
    <d v="2024-11-07T00:00:00"/>
    <s v="Video"/>
    <s v="Explore the latest video on Myntra! Trendy styles await."/>
    <n v="129"/>
    <n v="643"/>
    <n v="136"/>
    <n v="908"/>
    <n v="0.70387596899224802"/>
    <n v="1290"/>
    <n v="839"/>
    <n v="238"/>
    <s v="#StyleWithMyntra"/>
    <s v="#FashionDeals"/>
    <x v="3"/>
    <n v="47603"/>
    <n v="1029"/>
  </r>
  <r>
    <s v="P179"/>
    <s v="Facebook"/>
    <d v="2024-07-15T00:00:00"/>
    <s v="Carousel"/>
    <s v="Explore the latest carousel on Myntra! Trendy styles await."/>
    <n v="3796"/>
    <n v="667"/>
    <n v="395"/>
    <n v="4858"/>
    <n v="7.5280481001673588E-2"/>
    <n v="64532"/>
    <n v="63550"/>
    <n v="292"/>
    <s v="#StyleWithMyntra"/>
    <m/>
    <x v="0"/>
    <n v="42964"/>
    <n v="1007"/>
  </r>
  <r>
    <s v="P180"/>
    <s v="YouTube"/>
    <d v="2024-12-03T00:00:00"/>
    <s v="Text"/>
    <s v="Explore the latest text on Myntra! Trendy styles await."/>
    <n v="3711"/>
    <n v="352"/>
    <n v="290"/>
    <n v="4353"/>
    <n v="9.023070704558174E-2"/>
    <n v="48243"/>
    <n v="47579"/>
    <n v="11"/>
    <s v="#StyleWithMyntra"/>
    <s v="#FashionDeals"/>
    <x v="3"/>
    <n v="39923"/>
    <n v="209"/>
  </r>
  <r>
    <s v="P181"/>
    <s v="YouTube"/>
    <d v="2025-03-21T00:00:00"/>
    <s v="Image"/>
    <s v="Explore the latest image on Myntra! Trendy styles await."/>
    <n v="606"/>
    <n v="789"/>
    <n v="470"/>
    <n v="1865"/>
    <n v="0.23673521198273673"/>
    <n v="7878"/>
    <n v="7389"/>
    <n v="239"/>
    <s v="#MyntraSale"/>
    <m/>
    <x v="1"/>
    <n v="2293"/>
    <n v="-160"/>
  </r>
  <r>
    <s v="P182"/>
    <s v="Facebook"/>
    <d v="2024-07-31T00:00:00"/>
    <s v="Image"/>
    <s v="Explore the latest image on Myntra! Trendy styles await."/>
    <n v="4689"/>
    <n v="134"/>
    <n v="403"/>
    <n v="5226"/>
    <n v="0.10132030477519921"/>
    <n v="51579"/>
    <n v="50924"/>
    <n v="173"/>
    <s v="#FashionDeals"/>
    <m/>
    <x v="0"/>
    <n v="25920"/>
    <n v="-175"/>
  </r>
  <r>
    <s v="P183"/>
    <s v="Instagram"/>
    <d v="2024-12-17T00:00:00"/>
    <s v="Story"/>
    <s v="Explore the latest story on Myntra! Trendy styles await."/>
    <n v="360"/>
    <n v="590"/>
    <n v="393"/>
    <n v="1343"/>
    <n v="0.28696581196581195"/>
    <n v="4680"/>
    <n v="4322"/>
    <n v="208"/>
    <s v="#StyleWithMyntra"/>
    <s v="#FashionDeals"/>
    <x v="1"/>
    <n v="11035"/>
    <n v="53"/>
  </r>
  <r>
    <s v="P184"/>
    <s v="Twitter"/>
    <d v="2024-07-28T00:00:00"/>
    <s v="Image"/>
    <s v="Explore the latest image on Myntra! Trendy styles await."/>
    <n v="3215"/>
    <n v="960"/>
    <n v="202"/>
    <n v="4377"/>
    <n v="0.13614307931570763"/>
    <n v="32150"/>
    <n v="31404"/>
    <n v="251"/>
    <s v="#StyleWithMyntra"/>
    <m/>
    <x v="2"/>
    <n v="20733"/>
    <n v="145"/>
  </r>
  <r>
    <s v="P185"/>
    <s v="Instagram"/>
    <d v="2025-01-11T00:00:00"/>
    <s v="Carousel"/>
    <s v="Explore the latest carousel on Myntra! Trendy styles await."/>
    <n v="4523"/>
    <n v="61"/>
    <n v="157"/>
    <n v="4741"/>
    <n v="9.5290736237010829E-2"/>
    <n v="49753"/>
    <n v="49329"/>
    <n v="71"/>
    <s v="#MyntraSale"/>
    <s v="#MyntraTrend"/>
    <x v="3"/>
    <n v="18693"/>
    <n v="603"/>
  </r>
  <r>
    <s v="P186"/>
    <s v="Facebook"/>
    <d v="2024-08-24T00:00:00"/>
    <s v="Carousel"/>
    <s v="Explore the latest carousel on Myntra! Trendy styles await."/>
    <n v="4292"/>
    <n v="51"/>
    <n v="392"/>
    <n v="4735"/>
    <n v="8.4862714173059003E-2"/>
    <n v="55796"/>
    <n v="54826"/>
    <n v="264"/>
    <s v="#MyntraTrend"/>
    <s v="#StyleWithMyntra"/>
    <x v="0"/>
    <n v="7875"/>
    <n v="1045"/>
  </r>
  <r>
    <s v="P187"/>
    <s v="Twitter"/>
    <d v="2024-12-22T00:00:00"/>
    <s v="Reel"/>
    <s v="Explore the latest reel on Myntra! Trendy styles await."/>
    <n v="1644"/>
    <n v="546"/>
    <n v="150"/>
    <n v="2340"/>
    <n v="8.3726921425504502E-2"/>
    <n v="27948"/>
    <n v="27184"/>
    <n v="300"/>
    <s v="#MyntraSale"/>
    <s v="#MyntraTrend"/>
    <x v="0"/>
    <n v="8471"/>
    <n v="759"/>
  </r>
  <r>
    <s v="P188"/>
    <s v="YouTube"/>
    <d v="2024-06-06T00:00:00"/>
    <s v="Reel"/>
    <s v="Explore the latest reel on Myntra! Trendy styles await."/>
    <n v="2728"/>
    <n v="533"/>
    <n v="215"/>
    <n v="3476"/>
    <n v="8.4946236559139784E-2"/>
    <n v="40920"/>
    <n v="40816"/>
    <n v="137"/>
    <s v="#MyntraSale"/>
    <m/>
    <x v="1"/>
    <n v="14090"/>
    <n v="1633"/>
  </r>
  <r>
    <s v="P189"/>
    <s v="Facebook"/>
    <d v="2025-03-24T00:00:00"/>
    <s v="Reel"/>
    <s v="Explore the latest reel on Myntra! Trendy styles await."/>
    <n v="3360"/>
    <n v="525"/>
    <n v="500"/>
    <n v="4385"/>
    <n v="7.2503306878306875E-2"/>
    <n v="60480"/>
    <n v="59610"/>
    <n v="192"/>
    <s v="#MyntraSale"/>
    <s v="#StyleWithMyntra"/>
    <x v="0"/>
    <n v="14216"/>
    <n v="1539"/>
  </r>
  <r>
    <s v="P190"/>
    <s v="YouTube"/>
    <d v="2024-10-04T00:00:00"/>
    <s v="Text"/>
    <s v="Explore the latest text on Myntra! Trendy styles await."/>
    <n v="1963"/>
    <n v="213"/>
    <n v="19"/>
    <n v="2195"/>
    <n v="5.5909322465613857E-2"/>
    <n v="39260"/>
    <n v="38771"/>
    <n v="145"/>
    <s v="#StyleWithMyntra"/>
    <m/>
    <x v="0"/>
    <n v="3582"/>
    <n v="453"/>
  </r>
  <r>
    <s v="P191"/>
    <s v="YouTube"/>
    <d v="2024-12-03T00:00:00"/>
    <s v="Story"/>
    <s v="Explore the latest story on Myntra! Trendy styles await."/>
    <n v="4285"/>
    <n v="886"/>
    <n v="376"/>
    <n v="5547"/>
    <n v="9.9578134817341346E-2"/>
    <n v="55705"/>
    <n v="55556"/>
    <n v="51"/>
    <s v="#MyntraFashion"/>
    <s v="#FashionDeals"/>
    <x v="3"/>
    <n v="32500"/>
    <n v="948"/>
  </r>
  <r>
    <s v="P192"/>
    <s v="Instagram"/>
    <d v="2024-11-29T00:00:00"/>
    <s v="Video"/>
    <s v="Explore the latest video on Myntra! Trendy styles await."/>
    <n v="1176"/>
    <n v="464"/>
    <n v="394"/>
    <n v="2034"/>
    <n v="0.1441326530612245"/>
    <n v="14112"/>
    <n v="13588"/>
    <n v="272"/>
    <s v="#FashionDeals"/>
    <m/>
    <x v="0"/>
    <n v="6832"/>
    <n v="637"/>
  </r>
  <r>
    <s v="P193"/>
    <s v="Twitter"/>
    <d v="2024-09-11T00:00:00"/>
    <s v="Image"/>
    <s v="Explore the latest image on Myntra! Trendy styles await."/>
    <n v="4858"/>
    <n v="317"/>
    <n v="129"/>
    <n v="5304"/>
    <n v="9.9255211647142488E-2"/>
    <n v="53438"/>
    <n v="52687"/>
    <n v="223"/>
    <s v="#FashionDeals"/>
    <s v="#MyntraTrend"/>
    <x v="0"/>
    <n v="33381"/>
    <n v="1881"/>
  </r>
  <r>
    <s v="P194"/>
    <s v="YouTube"/>
    <d v="2024-10-02T00:00:00"/>
    <s v="Story"/>
    <s v="Explore the latest story on Myntra! Trendy styles await."/>
    <n v="4350"/>
    <n v="771"/>
    <n v="7"/>
    <n v="5128"/>
    <n v="8.4203612479474554E-2"/>
    <n v="60900"/>
    <n v="60592"/>
    <n v="195"/>
    <s v="#FashionDeals"/>
    <s v="#StyleWithMyntra"/>
    <x v="1"/>
    <n v="48419"/>
    <n v="339"/>
  </r>
  <r>
    <s v="P195"/>
    <s v="Instagram"/>
    <d v="2024-08-15T00:00:00"/>
    <s v="Carousel"/>
    <s v="Explore the latest carousel on Myntra! Trendy styles await."/>
    <n v="914"/>
    <n v="464"/>
    <n v="246"/>
    <n v="1624"/>
    <n v="0.13667732704931829"/>
    <n v="11882"/>
    <n v="11500"/>
    <n v="282"/>
    <s v="#MyntraFashion"/>
    <s v="#MyntraTrend"/>
    <x v="2"/>
    <n v="16149"/>
    <n v="1510"/>
  </r>
  <r>
    <s v="P196"/>
    <s v="Instagram"/>
    <d v="2024-12-19T00:00:00"/>
    <s v="Text"/>
    <s v="Explore the latest text on Myntra! Trendy styles await."/>
    <n v="1813"/>
    <n v="623"/>
    <n v="72"/>
    <n v="2508"/>
    <n v="0.12575841147269717"/>
    <n v="19943"/>
    <n v="18959"/>
    <n v="85"/>
    <s v="#MyntraTrend"/>
    <s v="#MyntraFashion"/>
    <x v="2"/>
    <n v="7541"/>
    <n v="864"/>
  </r>
  <r>
    <s v="P197"/>
    <s v="Twitter"/>
    <d v="2024-10-22T00:00:00"/>
    <s v="Reel"/>
    <s v="Explore the latest reel on Myntra! Trendy styles await."/>
    <n v="4782"/>
    <n v="721"/>
    <n v="82"/>
    <n v="5585"/>
    <n v="6.4884520656164318E-2"/>
    <n v="86076"/>
    <n v="85339"/>
    <n v="19"/>
    <s v="#FashionDeals"/>
    <m/>
    <x v="1"/>
    <n v="20042"/>
    <n v="1656"/>
  </r>
  <r>
    <s v="P198"/>
    <s v="Twitter"/>
    <d v="2024-09-14T00:00:00"/>
    <s v="Image"/>
    <s v="Explore the latest image on Myntra! Trendy styles await."/>
    <n v="1048"/>
    <n v="374"/>
    <n v="450"/>
    <n v="1872"/>
    <n v="0.19847328244274809"/>
    <n v="9432"/>
    <n v="8882"/>
    <n v="158"/>
    <s v="#MyntraTrend"/>
    <s v="#MyntraSale"/>
    <x v="1"/>
    <n v="49400"/>
    <n v="407"/>
  </r>
  <r>
    <s v="P199"/>
    <s v="YouTube"/>
    <d v="2024-11-30T00:00:00"/>
    <s v="Carousel"/>
    <s v="Explore the latest carousel on Myntra! Trendy styles await."/>
    <n v="2509"/>
    <n v="324"/>
    <n v="171"/>
    <n v="3004"/>
    <n v="8.5520696919660646E-2"/>
    <n v="35126"/>
    <n v="34685"/>
    <n v="277"/>
    <s v="#FashionDeals"/>
    <m/>
    <x v="1"/>
    <n v="4007"/>
    <n v="269"/>
  </r>
  <r>
    <s v="P200"/>
    <s v="Facebook"/>
    <d v="2025-04-07T00:00:00"/>
    <s v="Reel"/>
    <s v="Explore the latest reel on Myntra! Trendy styles await."/>
    <n v="3718"/>
    <n v="385"/>
    <n v="310"/>
    <n v="4413"/>
    <n v="6.246991874522239E-2"/>
    <n v="70642"/>
    <n v="69749"/>
    <n v="233"/>
    <s v="#MyntraTrend"/>
    <m/>
    <x v="0"/>
    <n v="12174"/>
    <n v="-337"/>
  </r>
  <r>
    <s v="P201"/>
    <s v="Twitter"/>
    <d v="2025-01-15T00:00:00"/>
    <s v="Reel"/>
    <s v="Explore the latest reel on Myntra! Trendy styles await."/>
    <n v="802"/>
    <n v="262"/>
    <n v="244"/>
    <n v="1308"/>
    <n v="9.0606816292601824E-2"/>
    <n v="14436"/>
    <n v="14280"/>
    <n v="49"/>
    <s v="#MyntraSale"/>
    <s v="#FashionDeals"/>
    <x v="3"/>
    <m/>
    <m/>
  </r>
  <r>
    <s v="P202"/>
    <s v="Facebook"/>
    <d v="2024-06-02T00:00:00"/>
    <s v="Image"/>
    <s v="Explore the latest image on Myntra! Trendy styles await."/>
    <n v="1871"/>
    <n v="252"/>
    <n v="335"/>
    <n v="2458"/>
    <n v="8.2108498129342594E-2"/>
    <n v="29936"/>
    <n v="29576"/>
    <n v="288"/>
    <s v="#MyntraTrend"/>
    <m/>
    <x v="1"/>
    <m/>
    <m/>
  </r>
  <r>
    <s v="P203"/>
    <s v="Instagram"/>
    <d v="2024-11-21T00:00:00"/>
    <s v="Carousel"/>
    <s v="Explore the latest carousel on Myntra! Trendy styles await."/>
    <n v="3773"/>
    <n v="299"/>
    <n v="38"/>
    <n v="4110"/>
    <n v="5.7332570758993957E-2"/>
    <n v="71687"/>
    <n v="71447"/>
    <n v="286"/>
    <s v="#MyntraTrend"/>
    <m/>
    <x v="3"/>
    <m/>
    <m/>
  </r>
  <r>
    <s v="P204"/>
    <s v="Instagram"/>
    <d v="2025-01-01T00:00:00"/>
    <s v="Carousel"/>
    <s v="Explore the latest carousel on Myntra! Trendy styles await."/>
    <n v="2234"/>
    <n v="653"/>
    <n v="432"/>
    <n v="3319"/>
    <n v="0.29713518352730528"/>
    <n v="11170"/>
    <n v="10569"/>
    <n v="198"/>
    <s v="#FashionDeals"/>
    <s v="#StyleWithMyntra"/>
    <x v="3"/>
    <m/>
    <m/>
  </r>
  <r>
    <s v="P205"/>
    <s v="Twitter"/>
    <d v="2025-04-24T00:00:00"/>
    <s v="Video"/>
    <s v="Explore the latest video on Myntra! Trendy styles await."/>
    <n v="3820"/>
    <n v="697"/>
    <n v="268"/>
    <n v="4785"/>
    <n v="0.1043848167539267"/>
    <n v="45840"/>
    <n v="45631"/>
    <n v="171"/>
    <s v="#StyleWithMyntra"/>
    <s v="#FashionDeals"/>
    <x v="0"/>
    <m/>
    <m/>
  </r>
  <r>
    <s v="P206"/>
    <s v="Twitter"/>
    <d v="2024-06-24T00:00:00"/>
    <s v="Text"/>
    <s v="Explore the latest text on Myntra! Trendy styles await."/>
    <n v="941"/>
    <n v="121"/>
    <n v="458"/>
    <n v="1520"/>
    <n v="0.10768685795253277"/>
    <n v="14115"/>
    <n v="13838"/>
    <n v="87"/>
    <s v="#MyntraFashion"/>
    <s v="#MyntraSale"/>
    <x v="1"/>
    <m/>
    <m/>
  </r>
  <r>
    <s v="P207"/>
    <s v="Twitter"/>
    <d v="2024-12-29T00:00:00"/>
    <s v="Carousel"/>
    <s v="Explore the latest carousel on Myntra! Trendy styles await."/>
    <n v="4274"/>
    <n v="340"/>
    <n v="281"/>
    <n v="4895"/>
    <n v="0.14316214319138981"/>
    <n v="34192"/>
    <n v="33446"/>
    <n v="129"/>
    <s v="#StyleWithMyntra"/>
    <s v="#FashionDeals"/>
    <x v="2"/>
    <m/>
    <m/>
  </r>
  <r>
    <s v="P208"/>
    <s v="YouTube"/>
    <d v="2024-06-24T00:00:00"/>
    <s v="Video"/>
    <s v="Explore the latest video on Myntra! Trendy styles await."/>
    <n v="2949"/>
    <n v="476"/>
    <n v="403"/>
    <n v="3828"/>
    <n v="8.6537809426924378E-2"/>
    <n v="44235"/>
    <n v="43705"/>
    <n v="135"/>
    <s v="#MyntraTrend"/>
    <s v="#FashionDeals"/>
    <x v="0"/>
    <m/>
    <m/>
  </r>
  <r>
    <s v="P209"/>
    <s v="Twitter"/>
    <d v="2025-03-19T00:00:00"/>
    <s v="Video"/>
    <s v="Explore the latest video on Myntra! Trendy styles await."/>
    <n v="3160"/>
    <n v="204"/>
    <n v="297"/>
    <n v="3661"/>
    <n v="8.2753164556962022E-2"/>
    <n v="44240"/>
    <n v="43666"/>
    <n v="49"/>
    <s v="#StyleWithMyntra"/>
    <s v="#MyntraTrend"/>
    <x v="0"/>
    <m/>
    <m/>
  </r>
  <r>
    <s v="P210"/>
    <s v="YouTube"/>
    <d v="2025-02-19T00:00:00"/>
    <s v="Image"/>
    <s v="Explore the latest image on Myntra! Trendy styles await."/>
    <n v="257"/>
    <n v="966"/>
    <n v="398"/>
    <n v="1621"/>
    <n v="0.48518407662376534"/>
    <n v="3341"/>
    <n v="2753"/>
    <n v="287"/>
    <s v="#MyntraTrend"/>
    <s v="#MyntraSale"/>
    <x v="0"/>
    <m/>
    <m/>
  </r>
  <r>
    <s v="P211"/>
    <s v="Twitter"/>
    <d v="2024-07-18T00:00:00"/>
    <s v="Carousel"/>
    <s v="Explore the latest carousel on Myntra! Trendy styles await."/>
    <n v="2120"/>
    <n v="38"/>
    <n v="212"/>
    <n v="2370"/>
    <n v="0.18632075471698112"/>
    <n v="12720"/>
    <n v="12564"/>
    <n v="21"/>
    <s v="#MyntraTrend"/>
    <s v="#MyntraSale"/>
    <x v="0"/>
    <m/>
    <m/>
  </r>
  <r>
    <s v="P212"/>
    <s v="YouTube"/>
    <d v="2025-03-03T00:00:00"/>
    <s v="Video"/>
    <s v="Explore the latest video on Myntra! Trendy styles await."/>
    <n v="3874"/>
    <n v="884"/>
    <n v="19"/>
    <n v="4777"/>
    <n v="0.123309241094476"/>
    <n v="38740"/>
    <n v="38552"/>
    <n v="219"/>
    <s v="#StyleWithMyntra"/>
    <m/>
    <x v="3"/>
    <m/>
    <m/>
  </r>
  <r>
    <s v="P213"/>
    <s v="Facebook"/>
    <d v="2025-05-01T00:00:00"/>
    <s v="Carousel"/>
    <s v="Explore the latest carousel on Myntra! Trendy styles await."/>
    <n v="2696"/>
    <n v="628"/>
    <n v="443"/>
    <n v="3767"/>
    <n v="8.21914819340199E-2"/>
    <n v="45832"/>
    <n v="45632"/>
    <n v="248"/>
    <s v="#MyntraSale"/>
    <m/>
    <x v="2"/>
    <m/>
    <m/>
  </r>
  <r>
    <s v="P214"/>
    <s v="Instagram"/>
    <d v="2024-12-23T00:00:00"/>
    <s v="Image"/>
    <s v="Explore the latest image on Myntra! Trendy styles await."/>
    <n v="521"/>
    <n v="746"/>
    <n v="315"/>
    <n v="1582"/>
    <n v="0.37955854126679461"/>
    <n v="4168"/>
    <n v="3399"/>
    <n v="282"/>
    <s v="#MyntraSale"/>
    <m/>
    <x v="0"/>
    <m/>
    <m/>
  </r>
  <r>
    <s v="P215"/>
    <s v="Facebook"/>
    <d v="2025-05-06T00:00:00"/>
    <s v="Image"/>
    <s v="Explore the latest image on Myntra! Trendy styles await."/>
    <n v="4872"/>
    <n v="925"/>
    <n v="176"/>
    <n v="5973"/>
    <n v="7.2116777745580993E-2"/>
    <n v="82824"/>
    <n v="82543"/>
    <n v="89"/>
    <s v="#MyntraSale"/>
    <s v="#MyntraTrend"/>
    <x v="0"/>
    <m/>
    <m/>
  </r>
  <r>
    <s v="P216"/>
    <s v="YouTube"/>
    <d v="2024-07-29T00:00:00"/>
    <s v="Story"/>
    <s v="Explore the latest story on Myntra! Trendy styles await."/>
    <n v="1509"/>
    <n v="88"/>
    <n v="163"/>
    <n v="1760"/>
    <n v="5.8316766070245198E-2"/>
    <n v="30180"/>
    <n v="29689"/>
    <n v="119"/>
    <s v="#MyntraTrend"/>
    <m/>
    <x v="0"/>
    <m/>
    <m/>
  </r>
  <r>
    <s v="P217"/>
    <s v="Facebook"/>
    <d v="2024-12-03T00:00:00"/>
    <s v="Image"/>
    <s v="Explore the latest image on Myntra! Trendy styles await."/>
    <n v="4606"/>
    <n v="931"/>
    <n v="230"/>
    <n v="5767"/>
    <n v="6.2603126356925748E-2"/>
    <n v="92120"/>
    <n v="91440"/>
    <n v="56"/>
    <s v="#FashionDeals"/>
    <s v="#MyntraFashion"/>
    <x v="2"/>
    <m/>
    <m/>
  </r>
  <r>
    <s v="P218"/>
    <s v="Facebook"/>
    <d v="2024-06-11T00:00:00"/>
    <s v="Carousel"/>
    <s v="Explore the latest carousel on Myntra! Trendy styles await."/>
    <n v="1869"/>
    <n v="453"/>
    <n v="490"/>
    <n v="2812"/>
    <n v="0.18806848582129482"/>
    <n v="14952"/>
    <n v="14309"/>
    <n v="275"/>
    <s v="#FashionDeals"/>
    <s v="#StyleWithMyntra"/>
    <x v="0"/>
    <m/>
    <m/>
  </r>
  <r>
    <s v="P219"/>
    <s v="Twitter"/>
    <d v="2025-01-28T00:00:00"/>
    <s v="Reel"/>
    <s v="Explore the latest reel on Myntra! Trendy styles await."/>
    <n v="1188"/>
    <n v="470"/>
    <n v="174"/>
    <n v="1832"/>
    <n v="0.25701459034792368"/>
    <n v="7128"/>
    <n v="6145"/>
    <n v="270"/>
    <s v="#StyleWithMyntra"/>
    <s v="#MyntraFashion"/>
    <x v="1"/>
    <m/>
    <m/>
  </r>
  <r>
    <s v="P220"/>
    <s v="Instagram"/>
    <d v="2024-06-02T00:00:00"/>
    <s v="Story"/>
    <s v="Explore the latest story on Myntra! Trendy styles await."/>
    <n v="84"/>
    <n v="897"/>
    <n v="85"/>
    <n v="1066"/>
    <n v="1.8129251700680271"/>
    <n v="588"/>
    <n v="8"/>
    <n v="12"/>
    <s v="#StyleWithMyntra"/>
    <m/>
    <x v="1"/>
    <m/>
    <m/>
  </r>
  <r>
    <s v="P221"/>
    <s v="Facebook"/>
    <d v="2025-03-23T00:00:00"/>
    <s v="Video"/>
    <s v="Explore the latest video on Myntra! Trendy styles await."/>
    <n v="4453"/>
    <n v="111"/>
    <n v="420"/>
    <n v="4984"/>
    <n v="0.15989220750056141"/>
    <n v="31171"/>
    <n v="30565"/>
    <n v="23"/>
    <s v="#MyntraTrend"/>
    <s v="#MyntraFashion"/>
    <x v="3"/>
    <m/>
    <m/>
  </r>
  <r>
    <s v="P222"/>
    <s v="Facebook"/>
    <d v="2024-10-08T00:00:00"/>
    <s v="Reel"/>
    <s v="Explore the latest reel on Myntra! Trendy styles await."/>
    <n v="1814"/>
    <n v="653"/>
    <n v="363"/>
    <n v="2830"/>
    <n v="0.11143487163332809"/>
    <n v="25396"/>
    <n v="25286"/>
    <n v="39"/>
    <s v="#StyleWithMyntra"/>
    <m/>
    <x v="0"/>
    <m/>
    <m/>
  </r>
  <r>
    <s v="P223"/>
    <s v="Twitter"/>
    <d v="2024-11-12T00:00:00"/>
    <s v="Image"/>
    <s v="Explore the latest image on Myntra! Trendy styles await."/>
    <n v="3338"/>
    <n v="277"/>
    <n v="118"/>
    <n v="3733"/>
    <n v="6.2129685107516146E-2"/>
    <n v="60084"/>
    <n v="59842"/>
    <n v="252"/>
    <s v="#StyleWithMyntra"/>
    <m/>
    <x v="0"/>
    <m/>
    <m/>
  </r>
  <r>
    <s v="P224"/>
    <s v="Facebook"/>
    <d v="2025-05-13T00:00:00"/>
    <s v="Image"/>
    <s v="Explore the latest image on Myntra! Trendy styles await."/>
    <n v="602"/>
    <n v="594"/>
    <n v="156"/>
    <n v="1352"/>
    <n v="0.32083531086853345"/>
    <n v="4214"/>
    <n v="3363"/>
    <n v="164"/>
    <s v="#MyntraSale"/>
    <m/>
    <x v="2"/>
    <m/>
    <m/>
  </r>
  <r>
    <s v="P225"/>
    <s v="Twitter"/>
    <d v="2024-06-20T00:00:00"/>
    <s v="Carousel"/>
    <s v="Explore the latest carousel on Myntra! Trendy styles await."/>
    <n v="4672"/>
    <n v="325"/>
    <n v="32"/>
    <n v="5029"/>
    <n v="5.6653298485940883E-2"/>
    <n v="88768"/>
    <n v="87833"/>
    <n v="118"/>
    <s v="#FashionDeals"/>
    <s v="#MyntraSale"/>
    <x v="2"/>
    <m/>
    <m/>
  </r>
  <r>
    <s v="P226"/>
    <s v="Instagram"/>
    <d v="2024-08-07T00:00:00"/>
    <s v="Carousel"/>
    <s v="Explore the latest carousel on Myntra! Trendy styles await."/>
    <n v="1741"/>
    <n v="164"/>
    <n v="318"/>
    <n v="2223"/>
    <n v="0.25537047673750718"/>
    <n v="8705"/>
    <n v="8272"/>
    <n v="121"/>
    <s v="#MyntraSale"/>
    <m/>
    <x v="1"/>
    <m/>
    <m/>
  </r>
  <r>
    <s v="P227"/>
    <s v="Instagram"/>
    <d v="2024-06-12T00:00:00"/>
    <s v="Text"/>
    <s v="Explore the latest text on Myntra! Trendy styles await."/>
    <n v="246"/>
    <n v="149"/>
    <n v="130"/>
    <n v="525"/>
    <n v="0.11232349165596919"/>
    <n v="4674"/>
    <n v="4390"/>
    <n v="217"/>
    <s v="#MyntraTrend"/>
    <s v="#FashionDeals"/>
    <x v="1"/>
    <m/>
    <m/>
  </r>
  <r>
    <s v="P228"/>
    <s v="Instagram"/>
    <d v="2024-07-01T00:00:00"/>
    <s v="Story"/>
    <s v="Explore the latest story on Myntra! Trendy styles await."/>
    <n v="4808"/>
    <n v="772"/>
    <n v="320"/>
    <n v="5900"/>
    <n v="8.1808097615085965E-2"/>
    <n v="72120"/>
    <n v="71696"/>
    <n v="195"/>
    <s v="#MyntraTrend"/>
    <s v="#MyntraSale"/>
    <x v="3"/>
    <m/>
    <m/>
  </r>
  <r>
    <s v="P229"/>
    <s v="Instagram"/>
    <d v="2024-07-03T00:00:00"/>
    <s v="Carousel"/>
    <s v="Explore the latest carousel on Myntra! Trendy styles await."/>
    <n v="4799"/>
    <n v="694"/>
    <n v="289"/>
    <n v="5782"/>
    <n v="0.13387048227640017"/>
    <n v="43191"/>
    <n v="42228"/>
    <n v="118"/>
    <s v="#MyntraTrend"/>
    <m/>
    <x v="1"/>
    <m/>
    <m/>
  </r>
  <r>
    <s v="P230"/>
    <s v="Facebook"/>
    <d v="2024-07-15T00:00:00"/>
    <s v="Reel"/>
    <s v="Explore the latest reel on Myntra! Trendy styles await."/>
    <n v="3663"/>
    <n v="17"/>
    <n v="295"/>
    <n v="3975"/>
    <n v="7.7512577512577507E-2"/>
    <n v="51282"/>
    <n v="50567"/>
    <n v="84"/>
    <s v="#MyntraSale"/>
    <m/>
    <x v="0"/>
    <m/>
    <m/>
  </r>
  <r>
    <s v="P231"/>
    <s v="Instagram"/>
    <d v="2025-05-01T00:00:00"/>
    <s v="Text"/>
    <s v="Explore the latest text on Myntra! Trendy styles await."/>
    <n v="1430"/>
    <n v="376"/>
    <n v="33"/>
    <n v="1839"/>
    <n v="8.5734265734265735E-2"/>
    <n v="21450"/>
    <n v="20509"/>
    <n v="251"/>
    <s v="#FashionDeals"/>
    <m/>
    <x v="2"/>
    <m/>
    <m/>
  </r>
  <r>
    <s v="P232"/>
    <s v="Twitter"/>
    <d v="2025-04-29T00:00:00"/>
    <s v="Story"/>
    <s v="Explore the latest story on Myntra! Trendy styles await."/>
    <n v="249"/>
    <n v="592"/>
    <n v="230"/>
    <n v="1071"/>
    <n v="0.7168674698795181"/>
    <n v="1494"/>
    <n v="1044"/>
    <n v="201"/>
    <s v="#MyntraFashion"/>
    <s v="#MyntraTrend"/>
    <x v="3"/>
    <m/>
    <m/>
  </r>
  <r>
    <s v="P233"/>
    <s v="Facebook"/>
    <d v="2025-03-08T00:00:00"/>
    <s v="Image"/>
    <s v="Explore the latest image on Myntra! Trendy styles await."/>
    <n v="2382"/>
    <n v="265"/>
    <n v="134"/>
    <n v="2781"/>
    <n v="7.2969143576826198E-2"/>
    <n v="38112"/>
    <n v="37437"/>
    <n v="249"/>
    <s v="#FashionDeals"/>
    <s v="#MyntraTrend"/>
    <x v="1"/>
    <m/>
    <m/>
  </r>
  <r>
    <s v="P234"/>
    <s v="Facebook"/>
    <d v="2024-06-01T00:00:00"/>
    <s v="Text"/>
    <s v="Explore the latest text on Myntra! Trendy styles await."/>
    <n v="1272"/>
    <n v="465"/>
    <n v="99"/>
    <n v="1836"/>
    <n v="7.5968222442899705E-2"/>
    <n v="24168"/>
    <n v="23719"/>
    <n v="42"/>
    <s v="#MyntraFashion"/>
    <s v="#FashionDeals"/>
    <x v="1"/>
    <m/>
    <m/>
  </r>
  <r>
    <s v="P235"/>
    <s v="Facebook"/>
    <d v="2024-12-22T00:00:00"/>
    <s v="Image"/>
    <s v="Explore the latest image on Myntra! Trendy styles await."/>
    <n v="3196"/>
    <n v="941"/>
    <n v="376"/>
    <n v="4513"/>
    <n v="0.1283706906360223"/>
    <n v="35156"/>
    <n v="34444"/>
    <n v="241"/>
    <s v="#StyleWithMyntra"/>
    <s v="#MyntraTrend"/>
    <x v="3"/>
    <m/>
    <m/>
  </r>
  <r>
    <s v="P236"/>
    <s v="Facebook"/>
    <d v="2024-08-19T00:00:00"/>
    <s v="Text"/>
    <s v="Explore the latest text on Myntra! Trendy styles await."/>
    <n v="1257"/>
    <n v="19"/>
    <n v="351"/>
    <n v="1627"/>
    <n v="0.12943516308671441"/>
    <n v="12570"/>
    <n v="11660"/>
    <n v="194"/>
    <s v="#StyleWithMyntra"/>
    <m/>
    <x v="0"/>
    <m/>
    <m/>
  </r>
  <r>
    <s v="P237"/>
    <s v="Instagram"/>
    <d v="2024-10-22T00:00:00"/>
    <s v="Story"/>
    <s v="Explore the latest story on Myntra! Trendy styles await."/>
    <n v="3770"/>
    <n v="917"/>
    <n v="129"/>
    <n v="4816"/>
    <n v="6.7234398994834563E-2"/>
    <n v="71630"/>
    <n v="71322"/>
    <n v="76"/>
    <s v="#MyntraSale"/>
    <s v="#MyntraTrend"/>
    <x v="3"/>
    <m/>
    <m/>
  </r>
  <r>
    <s v="P238"/>
    <s v="Twitter"/>
    <d v="2024-07-16T00:00:00"/>
    <s v="Text"/>
    <s v="Explore the latest text on Myntra! Trendy styles await."/>
    <n v="4725"/>
    <n v="400"/>
    <n v="362"/>
    <n v="5487"/>
    <n v="7.2579365079365077E-2"/>
    <n v="75600"/>
    <n v="74927"/>
    <n v="43"/>
    <s v="#MyntraTrend"/>
    <s v="#MyntraFashion"/>
    <x v="0"/>
    <m/>
    <m/>
  </r>
  <r>
    <s v="P239"/>
    <s v="YouTube"/>
    <d v="2025-02-24T00:00:00"/>
    <s v="Text"/>
    <s v="Explore the latest text on Myntra! Trendy styles await."/>
    <n v="4188"/>
    <n v="942"/>
    <n v="118"/>
    <n v="5248"/>
    <n v="0.25062082139446035"/>
    <n v="20940"/>
    <n v="20471"/>
    <n v="102"/>
    <s v="#StyleWithMyntra"/>
    <m/>
    <x v="1"/>
    <m/>
    <m/>
  </r>
  <r>
    <s v="P240"/>
    <s v="Twitter"/>
    <d v="2024-08-26T00:00:00"/>
    <s v="Carousel"/>
    <s v="Explore the latest carousel on Myntra! Trendy styles await."/>
    <n v="929"/>
    <n v="192"/>
    <n v="322"/>
    <n v="1443"/>
    <n v="8.6293505561535699E-2"/>
    <n v="16722"/>
    <n v="15996"/>
    <n v="145"/>
    <s v="#MyntraFashion"/>
    <m/>
    <x v="2"/>
    <m/>
    <m/>
  </r>
  <r>
    <s v="P241"/>
    <s v="Facebook"/>
    <d v="2025-01-18T00:00:00"/>
    <s v="Story"/>
    <s v="Explore the latest story on Myntra! Trendy styles await."/>
    <n v="4321"/>
    <n v="874"/>
    <n v="172"/>
    <n v="5367"/>
    <n v="0.17743908486792079"/>
    <n v="30247"/>
    <n v="29254"/>
    <n v="122"/>
    <s v="#MyntraSale"/>
    <s v="#MyntraFashion"/>
    <x v="2"/>
    <m/>
    <m/>
  </r>
  <r>
    <s v="P242"/>
    <s v="Facebook"/>
    <d v="2024-07-07T00:00:00"/>
    <s v="Reel"/>
    <s v="Explore the latest reel on Myntra! Trendy styles await."/>
    <n v="4767"/>
    <n v="190"/>
    <n v="340"/>
    <n v="5297"/>
    <n v="0.18519683938186141"/>
    <n v="28602"/>
    <n v="28044"/>
    <n v="210"/>
    <s v="#FashionDeals"/>
    <m/>
    <x v="3"/>
    <m/>
    <m/>
  </r>
  <r>
    <s v="P243"/>
    <s v="Twitter"/>
    <d v="2025-03-06T00:00:00"/>
    <s v="Image"/>
    <s v="Explore the latest image on Myntra! Trendy styles await."/>
    <n v="3592"/>
    <n v="911"/>
    <n v="375"/>
    <n v="4878"/>
    <n v="9.7001272669424113E-2"/>
    <n v="50288"/>
    <n v="49490"/>
    <n v="32"/>
    <s v="#StyleWithMyntra"/>
    <m/>
    <x v="1"/>
    <m/>
    <m/>
  </r>
  <r>
    <s v="P244"/>
    <s v="YouTube"/>
    <d v="2024-10-25T00:00:00"/>
    <s v="Video"/>
    <s v="Explore the latest video on Myntra! Trendy styles await."/>
    <n v="4661"/>
    <n v="935"/>
    <n v="433"/>
    <n v="6029"/>
    <n v="0.25869984981763572"/>
    <n v="23305"/>
    <n v="22583"/>
    <n v="63"/>
    <s v="#StyleWithMyntra"/>
    <s v="#FashionDeals"/>
    <x v="0"/>
    <m/>
    <m/>
  </r>
  <r>
    <s v="P245"/>
    <s v="Facebook"/>
    <d v="2025-01-12T00:00:00"/>
    <s v="Reel"/>
    <s v="Explore the latest reel on Myntra! Trendy styles await."/>
    <n v="4134"/>
    <n v="824"/>
    <n v="99"/>
    <n v="5057"/>
    <n v="0.12232704402515723"/>
    <n v="41340"/>
    <n v="41050"/>
    <n v="177"/>
    <s v="#MyntraFashion"/>
    <m/>
    <x v="1"/>
    <m/>
    <m/>
  </r>
  <r>
    <s v="P246"/>
    <s v="Facebook"/>
    <d v="2024-10-11T00:00:00"/>
    <s v="Image"/>
    <s v="Explore the latest image on Myntra! Trendy styles await."/>
    <n v="400"/>
    <n v="680"/>
    <n v="434"/>
    <n v="1514"/>
    <n v="0.23656250000000001"/>
    <n v="6400"/>
    <n v="5472"/>
    <n v="160"/>
    <s v="#MyntraSale"/>
    <s v="#MyntraTrend"/>
    <x v="1"/>
    <m/>
    <m/>
  </r>
  <r>
    <s v="P247"/>
    <s v="Facebook"/>
    <d v="2024-08-27T00:00:00"/>
    <s v="Reel"/>
    <s v="Explore the latest reel on Myntra! Trendy styles await."/>
    <n v="3960"/>
    <n v="266"/>
    <n v="8"/>
    <n v="4234"/>
    <n v="0.11879910213243547"/>
    <n v="35640"/>
    <n v="34850"/>
    <n v="208"/>
    <s v="#MyntraTrend"/>
    <s v="#MyntraFashion"/>
    <x v="3"/>
    <m/>
    <m/>
  </r>
  <r>
    <s v="P248"/>
    <s v="Facebook"/>
    <d v="2025-02-02T00:00:00"/>
    <s v="Story"/>
    <s v="Explore the latest story on Myntra! Trendy styles await."/>
    <n v="886"/>
    <n v="126"/>
    <n v="153"/>
    <n v="1165"/>
    <n v="0.26297968397291194"/>
    <n v="4430"/>
    <n v="4037"/>
    <n v="212"/>
    <s v="#MyntraSale"/>
    <m/>
    <x v="2"/>
    <m/>
    <m/>
  </r>
  <r>
    <s v="P249"/>
    <s v="Twitter"/>
    <d v="2024-07-18T00:00:00"/>
    <s v="Image"/>
    <s v="Explore the latest image on Myntra! Trendy styles await."/>
    <n v="827"/>
    <n v="77"/>
    <n v="402"/>
    <n v="1306"/>
    <n v="8.7733440816874911E-2"/>
    <n v="14886"/>
    <n v="14129"/>
    <n v="254"/>
    <s v="#StyleWithMyntra"/>
    <m/>
    <x v="1"/>
    <m/>
    <m/>
  </r>
  <r>
    <s v="P250"/>
    <s v="Facebook"/>
    <d v="2024-06-22T00:00:00"/>
    <s v="Reel"/>
    <s v="Explore the latest reel on Myntra! Trendy styles await."/>
    <n v="3813"/>
    <n v="935"/>
    <n v="274"/>
    <n v="5022"/>
    <n v="7.3170731707317069E-2"/>
    <n v="68634"/>
    <n v="68488"/>
    <n v="251"/>
    <s v="#FashionDeals"/>
    <s v="#MyntraTrend"/>
    <x v="0"/>
    <m/>
    <m/>
  </r>
  <r>
    <s v="P251"/>
    <s v="Instagram"/>
    <d v="2025-03-27T00:00:00"/>
    <s v="Carousel"/>
    <s v="Explore the latest carousel on Myntra! Trendy styles await."/>
    <n v="1377"/>
    <n v="796"/>
    <n v="387"/>
    <n v="2560"/>
    <n v="0.11619462599854757"/>
    <n v="22032"/>
    <n v="21869"/>
    <n v="189"/>
    <s v="#FashionDeals"/>
    <s v="#MyntraFashion"/>
    <x v="2"/>
    <m/>
    <m/>
  </r>
  <r>
    <s v="P252"/>
    <s v="Facebook"/>
    <d v="2025-04-28T00:00:00"/>
    <s v="Carousel"/>
    <s v="Explore the latest carousel on Myntra! Trendy styles await."/>
    <n v="2089"/>
    <n v="476"/>
    <n v="69"/>
    <n v="2634"/>
    <n v="0.15761129727142173"/>
    <n v="16712"/>
    <n v="16309"/>
    <n v="64"/>
    <s v="#StyleWithMyntra"/>
    <s v="#MyntraSale"/>
    <x v="0"/>
    <m/>
    <m/>
  </r>
  <r>
    <s v="P253"/>
    <s v="Twitter"/>
    <d v="2024-08-03T00:00:00"/>
    <s v="Reel"/>
    <s v="Explore the latest reel on Myntra! Trendy styles await."/>
    <n v="3791"/>
    <n v="593"/>
    <n v="228"/>
    <n v="4612"/>
    <n v="8.6897539284772202E-2"/>
    <n v="53074"/>
    <n v="52613"/>
    <n v="205"/>
    <s v="#StyleWithMyntra"/>
    <s v="#FashionDeals"/>
    <x v="0"/>
    <m/>
    <m/>
  </r>
  <r>
    <s v="P254"/>
    <s v="Twitter"/>
    <d v="2025-01-14T00:00:00"/>
    <s v="Image"/>
    <s v="Explore the latest image on Myntra! Trendy styles await."/>
    <n v="2692"/>
    <n v="115"/>
    <n v="64"/>
    <n v="2871"/>
    <n v="0.13331166419019316"/>
    <n v="21536"/>
    <n v="21120"/>
    <n v="224"/>
    <s v="#FashionDeals"/>
    <s v="#MyntraTrend"/>
    <x v="3"/>
    <m/>
    <m/>
  </r>
  <r>
    <s v="P255"/>
    <s v="Facebook"/>
    <d v="2025-04-03T00:00:00"/>
    <s v="Story"/>
    <s v="Explore the latest story on Myntra! Trendy styles await."/>
    <n v="3767"/>
    <n v="514"/>
    <n v="238"/>
    <n v="4519"/>
    <n v="0.11996283514733209"/>
    <n v="37670"/>
    <n v="36807"/>
    <n v="226"/>
    <s v="#StyleWithMyntra"/>
    <s v="#FashionDeals"/>
    <x v="0"/>
    <m/>
    <m/>
  </r>
  <r>
    <s v="P256"/>
    <s v="YouTube"/>
    <d v="2024-09-18T00:00:00"/>
    <s v="Carousel"/>
    <s v="Explore the latest carousel on Myntra! Trendy styles await."/>
    <n v="2143"/>
    <n v="12"/>
    <n v="204"/>
    <n v="2359"/>
    <n v="5.7936488444630008E-2"/>
    <n v="40717"/>
    <n v="40125"/>
    <n v="248"/>
    <s v="#FashionDeals"/>
    <s v="#MyntraSale"/>
    <x v="3"/>
    <m/>
    <m/>
  </r>
  <r>
    <s v="P257"/>
    <s v="Facebook"/>
    <d v="2025-04-06T00:00:00"/>
    <s v="Image"/>
    <s v="Explore the latest image on Myntra! Trendy styles await."/>
    <n v="3090"/>
    <n v="697"/>
    <n v="164"/>
    <n v="3951"/>
    <n v="7.9915048543689318E-2"/>
    <n v="49440"/>
    <n v="48524"/>
    <n v="25"/>
    <s v="#FashionDeals"/>
    <s v="#StyleWithMyntra"/>
    <x v="3"/>
    <m/>
    <m/>
  </r>
  <r>
    <s v="P258"/>
    <s v="Instagram"/>
    <d v="2024-08-05T00:00:00"/>
    <s v="Story"/>
    <s v="Explore the latest story on Myntra! Trendy styles await."/>
    <n v="3601"/>
    <n v="695"/>
    <n v="75"/>
    <n v="4371"/>
    <n v="0.2023049153013052"/>
    <n v="21606"/>
    <n v="21454"/>
    <n v="172"/>
    <s v="#StyleWithMyntra"/>
    <m/>
    <x v="1"/>
    <m/>
    <m/>
  </r>
  <r>
    <s v="P259"/>
    <s v="Facebook"/>
    <d v="2025-02-10T00:00:00"/>
    <s v="Text"/>
    <s v="Explore the latest text on Myntra! Trendy styles await."/>
    <n v="562"/>
    <n v="158"/>
    <n v="149"/>
    <n v="869"/>
    <n v="0.25771055753262156"/>
    <n v="3372"/>
    <n v="2940"/>
    <n v="93"/>
    <s v="#FashionDeals"/>
    <s v="#MyntraSale"/>
    <x v="3"/>
    <m/>
    <m/>
  </r>
  <r>
    <s v="P260"/>
    <s v="Instagram"/>
    <d v="2025-02-12T00:00:00"/>
    <s v="Story"/>
    <s v="Explore the latest story on Myntra! Trendy styles await."/>
    <n v="4332"/>
    <n v="771"/>
    <n v="219"/>
    <n v="5322"/>
    <n v="8.7752275425405618E-2"/>
    <n v="60648"/>
    <n v="60397"/>
    <n v="10"/>
    <s v="#MyntraFashion"/>
    <m/>
    <x v="2"/>
    <m/>
    <m/>
  </r>
  <r>
    <s v="P261"/>
    <s v="Instagram"/>
    <d v="2024-10-27T00:00:00"/>
    <s v="Image"/>
    <s v="Explore the latest image on Myntra! Trendy styles await."/>
    <n v="4853"/>
    <n v="837"/>
    <n v="340"/>
    <n v="6030"/>
    <n v="8.2835359571399134E-2"/>
    <n v="72795"/>
    <n v="72237"/>
    <n v="170"/>
    <s v="#MyntraSale"/>
    <m/>
    <x v="1"/>
    <m/>
    <m/>
  </r>
  <r>
    <s v="P262"/>
    <s v="YouTube"/>
    <d v="2025-01-18T00:00:00"/>
    <s v="Image"/>
    <s v="Explore the latest image on Myntra! Trendy styles await."/>
    <n v="1206"/>
    <n v="238"/>
    <n v="36"/>
    <n v="1480"/>
    <n v="0.15339966832504145"/>
    <n v="9648"/>
    <n v="9417"/>
    <n v="237"/>
    <s v="#MyntraSale"/>
    <s v="#StyleWithMyntra"/>
    <x v="2"/>
    <m/>
    <m/>
  </r>
  <r>
    <s v="P263"/>
    <s v="Instagram"/>
    <d v="2024-08-20T00:00:00"/>
    <s v="Reel"/>
    <s v="Explore the latest reel on Myntra! Trendy styles await."/>
    <n v="2603"/>
    <n v="690"/>
    <n v="205"/>
    <n v="3498"/>
    <n v="0.26876680752977333"/>
    <n v="13015"/>
    <n v="12130"/>
    <n v="20"/>
    <s v="#MyntraTrend"/>
    <m/>
    <x v="0"/>
    <m/>
    <m/>
  </r>
  <r>
    <s v="P264"/>
    <s v="Twitter"/>
    <d v="2025-01-30T00:00:00"/>
    <s v="Image"/>
    <s v="Explore the latest image on Myntra! Trendy styles await."/>
    <n v="59"/>
    <n v="163"/>
    <n v="93"/>
    <n v="315"/>
    <n v="0.53389830508474578"/>
    <n v="590"/>
    <n v="475"/>
    <n v="293"/>
    <s v="#MyntraTrend"/>
    <m/>
    <x v="3"/>
    <m/>
    <m/>
  </r>
  <r>
    <s v="P265"/>
    <s v="Twitter"/>
    <d v="2025-02-20T00:00:00"/>
    <s v="Carousel"/>
    <s v="Explore the latest carousel on Myntra! Trendy styles await."/>
    <n v="1877"/>
    <n v="745"/>
    <n v="225"/>
    <n v="2847"/>
    <n v="0.25279701651571657"/>
    <n v="11262"/>
    <n v="10967"/>
    <n v="41"/>
    <s v="#StyleWithMyntra"/>
    <s v="#MyntraSale"/>
    <x v="0"/>
    <m/>
    <m/>
  </r>
  <r>
    <s v="P266"/>
    <s v="Facebook"/>
    <d v="2024-11-25T00:00:00"/>
    <s v="Story"/>
    <s v="Explore the latest story on Myntra! Trendy styles await."/>
    <n v="4182"/>
    <n v="640"/>
    <n v="240"/>
    <n v="5062"/>
    <n v="0.10086880280567512"/>
    <n v="50184"/>
    <n v="49351"/>
    <n v="10"/>
    <s v="#MyntraSale"/>
    <s v="#StyleWithMyntra"/>
    <x v="2"/>
    <m/>
    <m/>
  </r>
  <r>
    <s v="P267"/>
    <s v="Twitter"/>
    <d v="2024-10-04T00:00:00"/>
    <s v="Reel"/>
    <s v="Explore the latest reel on Myntra! Trendy styles await."/>
    <n v="4187"/>
    <n v="66"/>
    <n v="31"/>
    <n v="4284"/>
    <n v="6.3947934081681396E-2"/>
    <n v="66992"/>
    <n v="66614"/>
    <n v="62"/>
    <s v="#StyleWithMyntra"/>
    <m/>
    <x v="3"/>
    <m/>
    <m/>
  </r>
  <r>
    <s v="P268"/>
    <s v="Instagram"/>
    <d v="2025-04-13T00:00:00"/>
    <s v="Reel"/>
    <s v="Explore the latest reel on Myntra! Trendy styles await."/>
    <n v="4579"/>
    <n v="125"/>
    <n v="300"/>
    <n v="5004"/>
    <n v="8.4062694239588759E-2"/>
    <n v="59527"/>
    <n v="59400"/>
    <n v="269"/>
    <s v="#StyleWithMyntra"/>
    <s v="#MyntraFashion"/>
    <x v="0"/>
    <m/>
    <m/>
  </r>
  <r>
    <s v="P269"/>
    <s v="Instagram"/>
    <d v="2024-11-05T00:00:00"/>
    <s v="Video"/>
    <s v="Explore the latest video on Myntra! Trendy styles await."/>
    <n v="4561"/>
    <n v="51"/>
    <n v="441"/>
    <n v="5053"/>
    <n v="0.22157421618066214"/>
    <n v="22805"/>
    <n v="21890"/>
    <n v="45"/>
    <s v="#StyleWithMyntra"/>
    <m/>
    <x v="1"/>
    <m/>
    <m/>
  </r>
  <r>
    <s v="P270"/>
    <s v="YouTube"/>
    <d v="2025-01-15T00:00:00"/>
    <s v="Reel"/>
    <s v="Explore the latest reel on Myntra! Trendy styles await."/>
    <n v="3774"/>
    <n v="239"/>
    <n v="39"/>
    <n v="4052"/>
    <n v="6.7103868574456813E-2"/>
    <n v="60384"/>
    <n v="59490"/>
    <n v="241"/>
    <s v="#FashionDeals"/>
    <m/>
    <x v="2"/>
    <m/>
    <m/>
  </r>
  <r>
    <s v="P271"/>
    <s v="Instagram"/>
    <d v="2024-10-17T00:00:00"/>
    <s v="Video"/>
    <s v="Explore the latest video on Myntra! Trendy styles await."/>
    <n v="3575"/>
    <n v="749"/>
    <n v="111"/>
    <n v="4435"/>
    <n v="0.20675990675990677"/>
    <n v="21450"/>
    <n v="20785"/>
    <n v="195"/>
    <s v="#FashionDeals"/>
    <m/>
    <x v="2"/>
    <m/>
    <m/>
  </r>
  <r>
    <s v="P272"/>
    <s v="Instagram"/>
    <d v="2025-03-27T00:00:00"/>
    <s v="Text"/>
    <s v="Explore the latest text on Myntra! Trendy styles await."/>
    <n v="4941"/>
    <n v="414"/>
    <n v="266"/>
    <n v="5621"/>
    <n v="0.14220299534507186"/>
    <n v="39528"/>
    <n v="39154"/>
    <n v="217"/>
    <s v="#MyntraSale"/>
    <m/>
    <x v="1"/>
    <m/>
    <m/>
  </r>
  <r>
    <s v="P273"/>
    <s v="YouTube"/>
    <d v="2024-10-12T00:00:00"/>
    <s v="Story"/>
    <s v="Explore the latest story on Myntra! Trendy styles await."/>
    <n v="3641"/>
    <n v="226"/>
    <n v="46"/>
    <n v="3913"/>
    <n v="9.7700431949264685E-2"/>
    <n v="40051"/>
    <n v="39319"/>
    <n v="296"/>
    <s v="#MyntraTrend"/>
    <m/>
    <x v="1"/>
    <m/>
    <m/>
  </r>
  <r>
    <s v="P274"/>
    <s v="Twitter"/>
    <d v="2025-01-01T00:00:00"/>
    <s v="Carousel"/>
    <s v="Explore the latest carousel on Myntra! Trendy styles await."/>
    <n v="3535"/>
    <n v="494"/>
    <n v="152"/>
    <n v="4181"/>
    <n v="7.8849599245638849E-2"/>
    <n v="53025"/>
    <n v="52791"/>
    <n v="44"/>
    <s v="#MyntraTrend"/>
    <s v="#StyleWithMyntra"/>
    <x v="1"/>
    <m/>
    <m/>
  </r>
  <r>
    <s v="P275"/>
    <s v="Facebook"/>
    <d v="2024-08-05T00:00:00"/>
    <s v="Reel"/>
    <s v="Explore the latest reel on Myntra! Trendy styles await."/>
    <n v="1741"/>
    <n v="831"/>
    <n v="345"/>
    <n v="2917"/>
    <n v="0.16754738655944859"/>
    <n v="17410"/>
    <n v="16844"/>
    <n v="58"/>
    <s v="#MyntraFashion"/>
    <s v="#FashionDeals"/>
    <x v="3"/>
    <m/>
    <m/>
  </r>
  <r>
    <s v="P276"/>
    <s v="Twitter"/>
    <d v="2024-06-07T00:00:00"/>
    <s v="Carousel"/>
    <s v="Explore the latest carousel on Myntra! Trendy styles await."/>
    <n v="1556"/>
    <n v="195"/>
    <n v="131"/>
    <n v="1882"/>
    <n v="0.2015852613538989"/>
    <n v="9336"/>
    <n v="8875"/>
    <n v="137"/>
    <s v="#MyntraFashion"/>
    <m/>
    <x v="1"/>
    <m/>
    <m/>
  </r>
  <r>
    <s v="P277"/>
    <s v="Facebook"/>
    <d v="2025-04-06T00:00:00"/>
    <s v="Image"/>
    <s v="Explore the latest image on Myntra! Trendy styles await."/>
    <n v="4236"/>
    <n v="711"/>
    <n v="298"/>
    <n v="5245"/>
    <n v="0.24763928234183191"/>
    <n v="21180"/>
    <n v="20516"/>
    <n v="238"/>
    <s v="#MyntraTrend"/>
    <s v="#MyntraSale"/>
    <x v="3"/>
    <m/>
    <m/>
  </r>
  <r>
    <s v="P278"/>
    <s v="Twitter"/>
    <d v="2024-11-26T00:00:00"/>
    <s v="Text"/>
    <s v="Explore the latest text on Myntra! Trendy styles await."/>
    <n v="4516"/>
    <n v="836"/>
    <n v="169"/>
    <n v="5521"/>
    <n v="0.11114018842096787"/>
    <n v="49676"/>
    <n v="49257"/>
    <n v="282"/>
    <s v="#MyntraTrend"/>
    <m/>
    <x v="0"/>
    <m/>
    <m/>
  </r>
  <r>
    <s v="P279"/>
    <s v="YouTube"/>
    <d v="2024-09-02T00:00:00"/>
    <s v="Image"/>
    <s v="Explore the latest image on Myntra! Trendy styles await."/>
    <n v="4905"/>
    <n v="845"/>
    <n v="129"/>
    <n v="5879"/>
    <n v="5.9928644240570844E-2"/>
    <n v="98100"/>
    <n v="97772"/>
    <n v="279"/>
    <s v="#MyntraTrend"/>
    <m/>
    <x v="3"/>
    <m/>
    <m/>
  </r>
  <r>
    <s v="P280"/>
    <s v="YouTube"/>
    <d v="2024-10-21T00:00:00"/>
    <s v="Video"/>
    <s v="Explore the latest video on Myntra! Trendy styles await."/>
    <n v="4275"/>
    <n v="680"/>
    <n v="385"/>
    <n v="5340"/>
    <n v="8.3274853801169585E-2"/>
    <n v="64125"/>
    <n v="63650"/>
    <n v="104"/>
    <s v="#StyleWithMyntra"/>
    <m/>
    <x v="3"/>
    <m/>
    <m/>
  </r>
  <r>
    <s v="P281"/>
    <s v="YouTube"/>
    <d v="2025-03-22T00:00:00"/>
    <s v="Image"/>
    <s v="Explore the latest image on Myntra! Trendy styles await."/>
    <n v="3166"/>
    <n v="90"/>
    <n v="341"/>
    <n v="3597"/>
    <n v="6.3118551273952411E-2"/>
    <n v="56988"/>
    <n v="56125"/>
    <n v="135"/>
    <s v="#MyntraFashion"/>
    <s v="#StyleWithMyntra"/>
    <x v="1"/>
    <m/>
    <m/>
  </r>
  <r>
    <s v="P282"/>
    <s v="Instagram"/>
    <d v="2024-10-03T00:00:00"/>
    <s v="Video"/>
    <s v="Explore the latest video on Myntra! Trendy styles await."/>
    <n v="1488"/>
    <n v="417"/>
    <n v="168"/>
    <n v="2073"/>
    <n v="0.1071650124069479"/>
    <n v="19344"/>
    <n v="18395"/>
    <n v="30"/>
    <s v="#MyntraSale"/>
    <m/>
    <x v="0"/>
    <m/>
    <m/>
  </r>
  <r>
    <s v="P283"/>
    <s v="Twitter"/>
    <d v="2025-05-09T00:00:00"/>
    <s v="Reel"/>
    <s v="Explore the latest reel on Myntra! Trendy styles await."/>
    <n v="3367"/>
    <n v="302"/>
    <n v="57"/>
    <n v="3726"/>
    <n v="5.8243321401216137E-2"/>
    <n v="63973"/>
    <n v="63789"/>
    <n v="157"/>
    <s v="#MyntraTrend"/>
    <s v="#MyntraFashion"/>
    <x v="2"/>
    <m/>
    <m/>
  </r>
  <r>
    <s v="P284"/>
    <s v="Twitter"/>
    <d v="2024-09-17T00:00:00"/>
    <s v="Text"/>
    <s v="Explore the latest text on Myntra! Trendy styles await."/>
    <n v="571"/>
    <n v="190"/>
    <n v="352"/>
    <n v="1113"/>
    <n v="0.11465952405480581"/>
    <n v="9707"/>
    <n v="9418"/>
    <n v="231"/>
    <s v="#FashionDeals"/>
    <m/>
    <x v="1"/>
    <m/>
    <m/>
  </r>
  <r>
    <s v="P285"/>
    <s v="YouTube"/>
    <d v="2024-07-18T00:00:00"/>
    <s v="Text"/>
    <s v="Explore the latest text on Myntra! Trendy styles await."/>
    <n v="4021"/>
    <n v="794"/>
    <n v="77"/>
    <n v="4892"/>
    <n v="0.13517919809886983"/>
    <n v="36189"/>
    <n v="35505"/>
    <n v="174"/>
    <s v="#FashionDeals"/>
    <s v="#StyleWithMyntra"/>
    <x v="0"/>
    <m/>
    <m/>
  </r>
  <r>
    <s v="P286"/>
    <s v="YouTube"/>
    <d v="2024-09-25T00:00:00"/>
    <s v="Video"/>
    <s v="Explore the latest video on Myntra! Trendy styles await."/>
    <n v="3389"/>
    <n v="344"/>
    <n v="229"/>
    <n v="3962"/>
    <n v="0.19484607062063539"/>
    <n v="20334"/>
    <n v="19443"/>
    <n v="228"/>
    <s v="#MyntraFashion"/>
    <s v="#MyntraSale"/>
    <x v="1"/>
    <m/>
    <m/>
  </r>
  <r>
    <s v="P287"/>
    <s v="Instagram"/>
    <d v="2024-08-15T00:00:00"/>
    <s v="Reel"/>
    <s v="Explore the latest reel on Myntra! Trendy styles await."/>
    <n v="1164"/>
    <n v="616"/>
    <n v="324"/>
    <n v="2104"/>
    <n v="0.30126002290950743"/>
    <n v="6984"/>
    <n v="6636"/>
    <n v="82"/>
    <s v="#MyntraFashion"/>
    <s v="#MyntraTrend"/>
    <x v="2"/>
    <m/>
    <m/>
  </r>
  <r>
    <s v="P288"/>
    <s v="YouTube"/>
    <d v="2025-04-17T00:00:00"/>
    <s v="Carousel"/>
    <s v="Explore the latest carousel on Myntra! Trendy styles await."/>
    <n v="4780"/>
    <n v="691"/>
    <n v="380"/>
    <n v="5851"/>
    <n v="6.800325430032543E-2"/>
    <n v="86040"/>
    <n v="85743"/>
    <n v="262"/>
    <s v="#MyntraFashion"/>
    <s v="#FashionDeals"/>
    <x v="2"/>
    <m/>
    <m/>
  </r>
  <r>
    <s v="P289"/>
    <s v="Facebook"/>
    <d v="2024-11-28T00:00:00"/>
    <s v="Carousel"/>
    <s v="Explore the latest carousel on Myntra! Trendy styles await."/>
    <n v="2751"/>
    <n v="33"/>
    <n v="430"/>
    <n v="3214"/>
    <n v="7.3018902217375503E-2"/>
    <n v="44016"/>
    <n v="43415"/>
    <n v="129"/>
    <s v="#MyntraTrend"/>
    <s v="#StyleWithMyntra"/>
    <x v="1"/>
    <m/>
    <m/>
  </r>
  <r>
    <s v="P290"/>
    <s v="Instagram"/>
    <d v="2024-12-20T00:00:00"/>
    <s v="Carousel"/>
    <s v="Explore the latest carousel on Myntra! Trendy styles await."/>
    <n v="2107"/>
    <n v="550"/>
    <n v="349"/>
    <n v="3006"/>
    <n v="8.3921940869371006E-2"/>
    <n v="35819"/>
    <n v="35340"/>
    <n v="191"/>
    <s v="#MyntraTrend"/>
    <m/>
    <x v="2"/>
    <m/>
    <m/>
  </r>
  <r>
    <s v="P291"/>
    <s v="Facebook"/>
    <d v="2024-11-06T00:00:00"/>
    <s v="Video"/>
    <s v="Explore the latest video on Myntra! Trendy styles await."/>
    <n v="4663"/>
    <n v="145"/>
    <n v="225"/>
    <n v="5033"/>
    <n v="7.1956537279290869E-2"/>
    <n v="69945"/>
    <n v="69596"/>
    <n v="35"/>
    <s v="#MyntraFashion"/>
    <m/>
    <x v="1"/>
    <m/>
    <m/>
  </r>
  <r>
    <s v="P292"/>
    <s v="Facebook"/>
    <d v="2024-11-17T00:00:00"/>
    <s v="Text"/>
    <s v="Explore the latest text on Myntra! Trendy styles await."/>
    <n v="880"/>
    <n v="297"/>
    <n v="345"/>
    <n v="1522"/>
    <n v="0.12353896103896105"/>
    <n v="12320"/>
    <n v="11978"/>
    <n v="238"/>
    <s v="#MyntraSale"/>
    <m/>
    <x v="1"/>
    <m/>
    <m/>
  </r>
  <r>
    <s v="P293"/>
    <s v="Facebook"/>
    <d v="2025-05-14T00:00:00"/>
    <s v="Text"/>
    <s v="Explore the latest text on Myntra! Trendy styles await."/>
    <n v="2634"/>
    <n v="726"/>
    <n v="241"/>
    <n v="3601"/>
    <n v="0.12428384068475185"/>
    <n v="28974"/>
    <n v="28102"/>
    <n v="277"/>
    <s v="#StyleWithMyntra"/>
    <m/>
    <x v="2"/>
    <m/>
    <m/>
  </r>
  <r>
    <s v="P294"/>
    <s v="Facebook"/>
    <d v="2024-06-19T00:00:00"/>
    <s v="Carousel"/>
    <s v="Explore the latest carousel on Myntra! Trendy styles await."/>
    <n v="4731"/>
    <n v="173"/>
    <n v="276"/>
    <n v="5180"/>
    <n v="0.18248432325794406"/>
    <n v="28386"/>
    <n v="28185"/>
    <n v="89"/>
    <s v="#MyntraTrend"/>
    <s v="#MyntraFashion"/>
    <x v="3"/>
    <m/>
    <m/>
  </r>
  <r>
    <s v="P295"/>
    <s v="Twitter"/>
    <d v="2025-05-06T00:00:00"/>
    <s v="Image"/>
    <s v="Explore the latest image on Myntra! Trendy styles await."/>
    <n v="1952"/>
    <n v="344"/>
    <n v="287"/>
    <n v="2583"/>
    <n v="0.16540727459016394"/>
    <n v="15616"/>
    <n v="15403"/>
    <n v="235"/>
    <s v="#MyntraSale"/>
    <s v="#MyntraFashion"/>
    <x v="2"/>
    <m/>
    <m/>
  </r>
  <r>
    <s v="P296"/>
    <s v="Twitter"/>
    <d v="2025-02-11T00:00:00"/>
    <s v="Video"/>
    <s v="Explore the latest video on Myntra! Trendy styles await."/>
    <n v="3440"/>
    <n v="13"/>
    <n v="20"/>
    <n v="3473"/>
    <n v="5.9387824897400819E-2"/>
    <n v="58480"/>
    <n v="58146"/>
    <n v="210"/>
    <s v="#MyntraFashion"/>
    <s v="#FashionDeals"/>
    <x v="0"/>
    <m/>
    <m/>
  </r>
  <r>
    <s v="P297"/>
    <s v="Twitter"/>
    <d v="2024-12-24T00:00:00"/>
    <s v="Text"/>
    <s v="Explore the latest text on Myntra! Trendy styles await."/>
    <n v="2166"/>
    <n v="354"/>
    <n v="117"/>
    <n v="2637"/>
    <n v="0.24349030470914126"/>
    <n v="10830"/>
    <n v="10245"/>
    <n v="24"/>
    <s v="#StyleWithMyntra"/>
    <s v="#MyntraTrend"/>
    <x v="0"/>
    <m/>
    <m/>
  </r>
  <r>
    <s v="P298"/>
    <s v="Facebook"/>
    <d v="2024-10-24T00:00:00"/>
    <s v="Image"/>
    <s v="Explore the latest image on Myntra! Trendy styles await."/>
    <n v="4303"/>
    <n v="451"/>
    <n v="286"/>
    <n v="5040"/>
    <n v="5.8563792702765516E-2"/>
    <n v="86060"/>
    <n v="85823"/>
    <n v="14"/>
    <s v="#MyntraSale"/>
    <m/>
    <x v="1"/>
    <m/>
    <m/>
  </r>
  <r>
    <s v="P299"/>
    <s v="Facebook"/>
    <d v="2024-08-26T00:00:00"/>
    <s v="Image"/>
    <s v="Explore the latest image on Myntra! Trendy styles await."/>
    <n v="2581"/>
    <n v="517"/>
    <n v="117"/>
    <n v="3215"/>
    <n v="0.13840458048129492"/>
    <n v="23229"/>
    <n v="22331"/>
    <n v="70"/>
    <s v="#MyntraSale"/>
    <s v="#StyleWithMyntra"/>
    <x v="1"/>
    <m/>
    <m/>
  </r>
  <r>
    <s v="P300"/>
    <s v="Twitter"/>
    <d v="2024-08-31T00:00:00"/>
    <s v="Carousel"/>
    <s v="Explore the latest carousel on Myntra! Trendy styles await."/>
    <n v="4494"/>
    <n v="717"/>
    <n v="45"/>
    <n v="5256"/>
    <n v="8.3539958039290485E-2"/>
    <n v="62916"/>
    <n v="62688"/>
    <n v="191"/>
    <s v="#MyntraFashion"/>
    <m/>
    <x v="0"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20185"/>
    <n v="18337"/>
    <n v="0.10077984403119376"/>
  </r>
  <r>
    <x v="1"/>
    <n v="29029"/>
    <n v="67773"/>
    <n v="-0.57167308515190418"/>
  </r>
  <r>
    <x v="2"/>
    <n v="25499"/>
    <n v="95022"/>
    <n v="-0.73165161752015317"/>
  </r>
  <r>
    <x v="3"/>
    <n v="16716"/>
    <n v="133833"/>
    <n v="-0.87509806998273965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s v="P001"/>
    <s v="Twitter"/>
    <d v="2024-12-23T00:00:00"/>
    <s v="Reel"/>
    <s v="Explore the latest reel on Myntra! Trendy styles await."/>
    <n v="1461"/>
    <n v="184"/>
    <n v="344"/>
    <n v="1989"/>
    <n v="9.0759753593429152E-2"/>
    <n v="21915"/>
    <n v="21675"/>
    <n v="15"/>
    <s v="#MyntraSale"/>
    <m/>
    <x v="0"/>
    <n v="5904"/>
    <n v="1047"/>
    <n v="0.33689024390243905"/>
  </r>
  <r>
    <s v="P002"/>
    <s v="Twitter"/>
    <d v="2025-04-03T00:00:00"/>
    <s v="Text"/>
    <s v="Explore the latest text on Myntra! Trendy styles await."/>
    <n v="4054"/>
    <n v="389"/>
    <n v="493"/>
    <n v="4936"/>
    <n v="7.6097681302417369E-2"/>
    <n v="64864"/>
    <n v="64383"/>
    <n v="117"/>
    <s v="#MyntraFashion"/>
    <m/>
    <x v="1"/>
    <n v="9566"/>
    <n v="1002"/>
    <n v="0.51599414593351456"/>
  </r>
  <r>
    <s v="P003"/>
    <s v="YouTube"/>
    <d v="2025-05-12T00:00:00"/>
    <s v="Reel"/>
    <s v="Explore the latest reel on Myntra! Trendy styles await."/>
    <n v="2795"/>
    <n v="105"/>
    <n v="49"/>
    <n v="2949"/>
    <n v="5.5531494209584788E-2"/>
    <n v="53105"/>
    <n v="52307"/>
    <n v="204"/>
    <s v="#MyntraFashion"/>
    <s v="#MyntraSale"/>
    <x v="0"/>
    <n v="26752"/>
    <n v="415"/>
    <n v="0.11023474880382775"/>
  </r>
  <r>
    <s v="P004"/>
    <s v="Instagram"/>
    <d v="2024-08-12T00:00:00"/>
    <s v="Story"/>
    <s v="Explore the latest story on Myntra! Trendy styles await."/>
    <n v="2404"/>
    <n v="363"/>
    <n v="138"/>
    <n v="2905"/>
    <n v="0.15105033277870217"/>
    <n v="19232"/>
    <n v="18636"/>
    <n v="128"/>
    <s v="#MyntraSale"/>
    <m/>
    <x v="0"/>
    <n v="30671"/>
    <n v="1090"/>
    <n v="9.4714877245606593E-2"/>
  </r>
  <r>
    <s v="P005"/>
    <s v="YouTube"/>
    <d v="2024-06-26T00:00:00"/>
    <s v="Reel"/>
    <s v="Explore the latest reel on Myntra! Trendy styles await."/>
    <n v="3557"/>
    <n v="687"/>
    <n v="424"/>
    <n v="4668"/>
    <n v="6.5617093055946027E-2"/>
    <n v="71140"/>
    <n v="70701"/>
    <n v="224"/>
    <s v="#StyleWithMyntra"/>
    <s v="#MyntraFashion"/>
    <x v="2"/>
    <n v="9920"/>
    <n v="517"/>
    <n v="0.47056451612903227"/>
  </r>
  <r>
    <s v="P006"/>
    <s v="Facebook"/>
    <d v="2024-10-31T00:00:00"/>
    <s v="Carousel"/>
    <s v="Explore the latest carousel on Myntra! Trendy styles await."/>
    <n v="2945"/>
    <n v="930"/>
    <n v="355"/>
    <n v="4230"/>
    <n v="0.17954159592529711"/>
    <n v="23560"/>
    <n v="23275"/>
    <n v="256"/>
    <s v="#MyntraTrend"/>
    <m/>
    <x v="1"/>
    <n v="7924"/>
    <n v="1283"/>
    <n v="0.53382130237253911"/>
  </r>
  <r>
    <s v="P007"/>
    <s v="Twitter"/>
    <d v="2024-06-24T00:00:00"/>
    <s v="Carousel"/>
    <s v="Explore the latest carousel on Myntra! Trendy styles await."/>
    <n v="3860"/>
    <n v="201"/>
    <n v="279"/>
    <n v="4340"/>
    <n v="7.0272020725388601E-2"/>
    <n v="61760"/>
    <n v="61660"/>
    <n v="235"/>
    <s v="#MyntraTrend"/>
    <m/>
    <x v="2"/>
    <n v="8912"/>
    <n v="186"/>
    <n v="0.48698384201077199"/>
  </r>
  <r>
    <s v="P008"/>
    <s v="YouTube"/>
    <d v="2024-07-13T00:00:00"/>
    <s v="Image"/>
    <s v="Explore the latest image on Myntra! Trendy styles await."/>
    <n v="3929"/>
    <n v="262"/>
    <n v="278"/>
    <n v="4469"/>
    <n v="0.10340359564080613"/>
    <n v="43219"/>
    <n v="42841"/>
    <n v="39"/>
    <s v="#MyntraFashion"/>
    <s v="#MyntraSale"/>
    <x v="2"/>
    <n v="21205"/>
    <n v="994"/>
    <n v="0.21075218108936572"/>
  </r>
  <r>
    <s v="P009"/>
    <s v="Facebook"/>
    <d v="2024-08-30T00:00:00"/>
    <s v="Text"/>
    <s v="Explore the latest text on Myntra! Trendy styles await."/>
    <n v="3784"/>
    <n v="808"/>
    <n v="404"/>
    <n v="4996"/>
    <n v="8.8019732205778717E-2"/>
    <n v="56760"/>
    <n v="56343"/>
    <n v="131"/>
    <s v="#MyntraFashion"/>
    <s v="#MyntraSale"/>
    <x v="2"/>
    <n v="11329"/>
    <n v="893"/>
    <n v="0.44099214405507986"/>
  </r>
  <r>
    <s v="P010"/>
    <s v="Facebook"/>
    <d v="2025-03-11T00:00:00"/>
    <s v="Image"/>
    <s v="Explore the latest image on Myntra! Trendy styles await."/>
    <n v="4241"/>
    <n v="902"/>
    <n v="47"/>
    <n v="5190"/>
    <n v="7.198635172059864E-2"/>
    <n v="72097"/>
    <n v="71598"/>
    <n v="167"/>
    <s v="#MyntraTrend"/>
    <m/>
    <x v="3"/>
    <n v="46670"/>
    <n v="1382"/>
    <n v="0.11120634240411399"/>
  </r>
  <r>
    <s v="P011"/>
    <s v="Instagram"/>
    <d v="2025-02-02T00:00:00"/>
    <s v="Story"/>
    <s v="Explore the latest story on Myntra! Trendy styles await."/>
    <n v="1792"/>
    <n v="614"/>
    <n v="497"/>
    <n v="2903"/>
    <n v="0.11571269132653061"/>
    <n v="25088"/>
    <n v="24675"/>
    <n v="65"/>
    <s v="#StyleWithMyntra"/>
    <m/>
    <x v="0"/>
    <n v="22482"/>
    <n v="1295"/>
    <n v="0.1291255226403345"/>
  </r>
  <r>
    <s v="P012"/>
    <s v="Facebook"/>
    <d v="2024-07-21T00:00:00"/>
    <s v="Reel"/>
    <s v="Explore the latest reel on Myntra! Trendy styles await."/>
    <n v="1946"/>
    <n v="686"/>
    <n v="377"/>
    <n v="3009"/>
    <n v="0.12885405960945528"/>
    <n v="23352"/>
    <n v="22982"/>
    <n v="213"/>
    <s v="#StyleWithMyntra"/>
    <s v="#MyntraSale"/>
    <x v="2"/>
    <n v="24313"/>
    <n v="337"/>
    <n v="0.12376095093160037"/>
  </r>
  <r>
    <s v="P013"/>
    <s v="YouTube"/>
    <d v="2024-11-18T00:00:00"/>
    <s v="Carousel"/>
    <s v="Explore the latest carousel on Myntra! Trendy styles await."/>
    <n v="1171"/>
    <n v="286"/>
    <n v="231"/>
    <n v="1688"/>
    <n v="7.5868578363072495E-2"/>
    <n v="22249"/>
    <n v="21282"/>
    <n v="114"/>
    <s v="#MyntraFashion"/>
    <m/>
    <x v="3"/>
    <n v="18050"/>
    <n v="629"/>
    <n v="9.3518005540166205E-2"/>
  </r>
  <r>
    <s v="P014"/>
    <s v="Facebook"/>
    <d v="2025-02-16T00:00:00"/>
    <s v="Story"/>
    <s v="Explore the latest story on Myntra! Trendy styles await."/>
    <n v="4242"/>
    <n v="555"/>
    <n v="131"/>
    <n v="4928"/>
    <n v="0.14521452145214522"/>
    <n v="33936"/>
    <n v="33802"/>
    <n v="265"/>
    <s v="#MyntraSale"/>
    <s v="#MyntraFashion"/>
    <x v="2"/>
    <n v="30635"/>
    <n v="1670"/>
    <n v="0.16086175942549372"/>
  </r>
  <r>
    <s v="P015"/>
    <s v="Facebook"/>
    <d v="2024-10-24T00:00:00"/>
    <s v="Video"/>
    <s v="Explore the latest video on Myntra! Trendy styles await."/>
    <n v="3888"/>
    <n v="604"/>
    <n v="128"/>
    <n v="4620"/>
    <n v="5.941358024691358E-2"/>
    <n v="77760"/>
    <n v="77167"/>
    <n v="20"/>
    <s v="#MyntraFashion"/>
    <s v="#FashionDeals"/>
    <x v="0"/>
    <n v="31280"/>
    <n v="835"/>
    <n v="0.14769820971867006"/>
  </r>
  <r>
    <s v="P016"/>
    <s v="Facebook"/>
    <d v="2024-08-26T00:00:00"/>
    <s v="Text"/>
    <s v="Explore the latest text on Myntra! Trendy styles await."/>
    <n v="3452"/>
    <n v="377"/>
    <n v="360"/>
    <n v="4189"/>
    <n v="7.5843713789107758E-2"/>
    <n v="55232"/>
    <n v="55075"/>
    <n v="87"/>
    <s v="#MyntraSale"/>
    <s v="#FashionDeals"/>
    <x v="2"/>
    <n v="1783"/>
    <n v="-123"/>
    <n v="2.3494111048794166"/>
  </r>
  <r>
    <s v="P017"/>
    <s v="Facebook"/>
    <d v="2025-05-05T00:00:00"/>
    <s v="Text"/>
    <s v="Explore the latest text on Myntra! Trendy styles await."/>
    <n v="4441"/>
    <n v="511"/>
    <n v="70"/>
    <n v="5022"/>
    <n v="9.4235532537716729E-2"/>
    <n v="53292"/>
    <n v="53082"/>
    <n v="159"/>
    <s v="#FashionDeals"/>
    <m/>
    <x v="2"/>
    <n v="9566"/>
    <n v="-219"/>
    <n v="0.52498431946477109"/>
  </r>
  <r>
    <s v="P018"/>
    <s v="Instagram"/>
    <d v="2024-08-19T00:00:00"/>
    <s v="Reel"/>
    <s v="Explore the latest reel on Myntra! Trendy styles await."/>
    <n v="3000"/>
    <n v="382"/>
    <n v="325"/>
    <n v="3707"/>
    <n v="0.10297222222222223"/>
    <n v="36000"/>
    <n v="35819"/>
    <n v="19"/>
    <s v="#StyleWithMyntra"/>
    <m/>
    <x v="1"/>
    <n v="42307"/>
    <n v="64"/>
    <n v="8.7621433805280452E-2"/>
  </r>
  <r>
    <s v="P019"/>
    <s v="Instagram"/>
    <d v="2024-06-23T00:00:00"/>
    <s v="Video"/>
    <s v="Explore the latest video on Myntra! Trendy styles await."/>
    <n v="1071"/>
    <n v="519"/>
    <n v="22"/>
    <n v="1612"/>
    <n v="0.10034235916588857"/>
    <n v="16065"/>
    <n v="15865"/>
    <n v="103"/>
    <s v="#MyntraSale"/>
    <s v="#StyleWithMyntra"/>
    <x v="2"/>
    <n v="5914"/>
    <n v="1357"/>
    <n v="0.27257355427798446"/>
  </r>
  <r>
    <s v="P020"/>
    <s v="Instagram"/>
    <d v="2024-09-09T00:00:00"/>
    <s v="Carousel"/>
    <s v="Explore the latest carousel on Myntra! Trendy styles await."/>
    <n v="4054"/>
    <n v="488"/>
    <n v="373"/>
    <n v="4915"/>
    <n v="6.3809622724794221E-2"/>
    <n v="77026"/>
    <n v="76881"/>
    <n v="25"/>
    <s v="#MyntraFashion"/>
    <s v="#MyntraSale"/>
    <x v="2"/>
    <n v="30060"/>
    <n v="91"/>
    <n v="0.16350632069194942"/>
  </r>
  <r>
    <s v="P021"/>
    <s v="Instagram"/>
    <d v="2025-01-04T00:00:00"/>
    <s v="Reel"/>
    <s v="Explore the latest reel on Myntra! Trendy styles await."/>
    <n v="4838"/>
    <n v="640"/>
    <n v="128"/>
    <n v="5606"/>
    <n v="7.7249552156538517E-2"/>
    <n v="72570"/>
    <n v="72396"/>
    <n v="83"/>
    <s v="#StyleWithMyntra"/>
    <s v="#MyntraTrend"/>
    <x v="2"/>
    <n v="22728"/>
    <n v="1672"/>
    <n v="0.24665610700457585"/>
  </r>
  <r>
    <s v="P022"/>
    <s v="Facebook"/>
    <d v="2025-02-27T00:00:00"/>
    <s v="Text"/>
    <s v="Explore the latest text on Myntra! Trendy styles await."/>
    <n v="1570"/>
    <n v="187"/>
    <n v="260"/>
    <n v="2017"/>
    <n v="8.0294585987261149E-2"/>
    <n v="25120"/>
    <n v="24613"/>
    <n v="133"/>
    <s v="#MyntraSale"/>
    <m/>
    <x v="3"/>
    <n v="38610"/>
    <n v="309"/>
    <n v="5.2240352240352242E-2"/>
  </r>
  <r>
    <s v="P023"/>
    <s v="Facebook"/>
    <d v="2024-11-06T00:00:00"/>
    <s v="Video"/>
    <s v="Explore the latest video on Myntra! Trendy styles await."/>
    <n v="1606"/>
    <n v="547"/>
    <n v="316"/>
    <n v="2469"/>
    <n v="7.6867995018679955E-2"/>
    <n v="32120"/>
    <n v="31736"/>
    <n v="225"/>
    <s v="#MyntraSale"/>
    <m/>
    <x v="2"/>
    <n v="2932"/>
    <n v="547"/>
    <n v="0.842087312414734"/>
  </r>
  <r>
    <s v="P024"/>
    <s v="Facebook"/>
    <d v="2025-01-23T00:00:00"/>
    <s v="Video"/>
    <s v="Explore the latest video on Myntra! Trendy styles await."/>
    <n v="3961"/>
    <n v="761"/>
    <n v="131"/>
    <n v="4853"/>
    <n v="7.2070332803659209E-2"/>
    <n v="67337"/>
    <n v="66615"/>
    <n v="161"/>
    <s v="#MyntraTrend"/>
    <m/>
    <x v="1"/>
    <n v="15071"/>
    <n v="514"/>
    <n v="0.32200915665848318"/>
  </r>
  <r>
    <s v="P025"/>
    <s v="Twitter"/>
    <d v="2025-04-10T00:00:00"/>
    <s v="Carousel"/>
    <s v="Explore the latest carousel on Myntra! Trendy styles await."/>
    <n v="3128"/>
    <n v="211"/>
    <n v="197"/>
    <n v="3536"/>
    <n v="5.9496567505720827E-2"/>
    <n v="59432"/>
    <n v="59182"/>
    <n v="238"/>
    <s v="#StyleWithMyntra"/>
    <s v="#MyntraSale"/>
    <x v="0"/>
    <n v="10740"/>
    <n v="1845"/>
    <n v="0.32923649906890129"/>
  </r>
  <r>
    <s v="P026"/>
    <s v="YouTube"/>
    <d v="2025-04-05T00:00:00"/>
    <s v="Reel"/>
    <s v="Explore the latest reel on Myntra! Trendy styles await."/>
    <n v="3009"/>
    <n v="413"/>
    <n v="358"/>
    <n v="3780"/>
    <n v="8.9730807577268201E-2"/>
    <n v="42126"/>
    <n v="41309"/>
    <n v="211"/>
    <s v="#MyntraSale"/>
    <m/>
    <x v="1"/>
    <n v="43420"/>
    <n v="-164"/>
    <n v="8.7056655918931372E-2"/>
  </r>
  <r>
    <s v="P027"/>
    <s v="YouTube"/>
    <d v="2024-09-17T00:00:00"/>
    <s v="Text"/>
    <s v="Explore the latest text on Myntra! Trendy styles await."/>
    <n v="2076"/>
    <n v="195"/>
    <n v="104"/>
    <n v="2375"/>
    <n v="7.1501685934489398E-2"/>
    <n v="33216"/>
    <n v="32244"/>
    <n v="51"/>
    <s v="#MyntraTrend"/>
    <m/>
    <x v="3"/>
    <n v="32393"/>
    <n v="429"/>
    <n v="7.331830951131417E-2"/>
  </r>
  <r>
    <s v="P028"/>
    <s v="Instagram"/>
    <d v="2025-03-04T00:00:00"/>
    <s v="Video"/>
    <s v="Explore the latest video on Myntra! Trendy styles await."/>
    <n v="432"/>
    <n v="624"/>
    <n v="123"/>
    <n v="1179"/>
    <n v="0.17057291666666666"/>
    <n v="6912"/>
    <n v="6259"/>
    <n v="79"/>
    <s v="#MyntraSale"/>
    <s v="#MyntraTrend"/>
    <x v="1"/>
    <n v="28474"/>
    <n v="160"/>
    <n v="4.1406195125377535E-2"/>
  </r>
  <r>
    <s v="P029"/>
    <s v="Instagram"/>
    <d v="2025-01-31T00:00:00"/>
    <s v="Carousel"/>
    <s v="Explore the latest carousel on Myntra! Trendy styles await."/>
    <n v="2566"/>
    <n v="118"/>
    <n v="37"/>
    <n v="2721"/>
    <n v="0.21208106001558846"/>
    <n v="12830"/>
    <n v="12264"/>
    <n v="221"/>
    <s v="#MyntraTrend"/>
    <s v="#MyntraFashion"/>
    <x v="2"/>
    <n v="17328"/>
    <n v="159"/>
    <n v="0.15702908587257619"/>
  </r>
  <r>
    <s v="P030"/>
    <s v="Instagram"/>
    <d v="2025-02-25T00:00:00"/>
    <s v="Video"/>
    <s v="Explore the latest video on Myntra! Trendy styles await."/>
    <n v="3095"/>
    <n v="39"/>
    <n v="78"/>
    <n v="3212"/>
    <n v="5.7655717106444085E-2"/>
    <n v="55710"/>
    <n v="54808"/>
    <n v="93"/>
    <s v="#MyntraSale"/>
    <m/>
    <x v="3"/>
    <n v="26067"/>
    <n v="961"/>
    <n v="0.12322093067863582"/>
  </r>
  <r>
    <s v="P031"/>
    <s v="Instagram"/>
    <d v="2024-12-16T00:00:00"/>
    <s v="Text"/>
    <s v="Explore the latest text on Myntra! Trendy styles await."/>
    <n v="438"/>
    <n v="153"/>
    <n v="275"/>
    <n v="866"/>
    <n v="0.28245270711024134"/>
    <n v="3066"/>
    <n v="2701"/>
    <n v="282"/>
    <s v="#MyntraTrend"/>
    <m/>
    <x v="3"/>
    <n v="32763"/>
    <n v="1316"/>
    <n v="2.6432255898422002E-2"/>
  </r>
  <r>
    <s v="P032"/>
    <s v="Twitter"/>
    <d v="2024-07-31T00:00:00"/>
    <s v="Carousel"/>
    <s v="Explore the latest carousel on Myntra! Trendy styles await."/>
    <n v="2278"/>
    <n v="10"/>
    <n v="321"/>
    <n v="2609"/>
    <n v="0.19088381621305239"/>
    <n v="13668"/>
    <n v="12676"/>
    <n v="275"/>
    <s v="#MyntraTrend"/>
    <s v="#MyntraFashion"/>
    <x v="3"/>
    <n v="26452"/>
    <n v="317"/>
    <n v="9.8631483441705733E-2"/>
  </r>
  <r>
    <s v="P033"/>
    <s v="Facebook"/>
    <d v="2024-08-21T00:00:00"/>
    <s v="Image"/>
    <s v="Explore the latest image on Myntra! Trendy styles await."/>
    <n v="1407"/>
    <n v="400"/>
    <n v="351"/>
    <n v="2158"/>
    <n v="0.12781331438047855"/>
    <n v="16884"/>
    <n v="15954"/>
    <n v="113"/>
    <s v="#MyntraFashion"/>
    <s v="#FashionDeals"/>
    <x v="2"/>
    <n v="15353"/>
    <n v="541"/>
    <n v="0.14055884843353092"/>
  </r>
  <r>
    <s v="P034"/>
    <s v="Facebook"/>
    <d v="2025-03-26T00:00:00"/>
    <s v="Text"/>
    <s v="Explore the latest text on Myntra! Trendy styles await."/>
    <n v="1652"/>
    <n v="89"/>
    <n v="357"/>
    <n v="2098"/>
    <n v="7.055421038471886E-2"/>
    <n v="29736"/>
    <n v="28771"/>
    <n v="215"/>
    <s v="#MyntraTrend"/>
    <s v="#FashionDeals"/>
    <x v="1"/>
    <n v="4839"/>
    <n v="-318"/>
    <n v="0.43356065302748503"/>
  </r>
  <r>
    <s v="P035"/>
    <s v="Instagram"/>
    <d v="2024-11-30T00:00:00"/>
    <s v="Video"/>
    <s v="Explore the latest video on Myntra! Trendy styles await."/>
    <n v="3775"/>
    <n v="16"/>
    <n v="239"/>
    <n v="4030"/>
    <n v="0.11861662987490802"/>
    <n v="33975"/>
    <n v="33310"/>
    <n v="271"/>
    <s v="#StyleWithMyntra"/>
    <s v="#MyntraSale"/>
    <x v="2"/>
    <n v="39272"/>
    <n v="1495"/>
    <n v="0.10261764106742717"/>
  </r>
  <r>
    <s v="P036"/>
    <s v="Instagram"/>
    <d v="2025-04-19T00:00:00"/>
    <s v="Story"/>
    <s v="Explore the latest story on Myntra! Trendy styles await."/>
    <n v="4518"/>
    <n v="285"/>
    <n v="383"/>
    <n v="5186"/>
    <n v="7.6523535487678915E-2"/>
    <n v="67770"/>
    <n v="67621"/>
    <n v="31"/>
    <s v="#FashionDeals"/>
    <m/>
    <x v="1"/>
    <n v="16804"/>
    <n v="475"/>
    <n v="0.30861699595334446"/>
  </r>
  <r>
    <s v="P037"/>
    <s v="Facebook"/>
    <d v="2025-01-06T00:00:00"/>
    <s v="Carousel"/>
    <s v="Explore the latest carousel on Myntra! Trendy styles await."/>
    <n v="3024"/>
    <n v="925"/>
    <n v="350"/>
    <n v="4299"/>
    <n v="0.17770337301587302"/>
    <n v="24192"/>
    <n v="23518"/>
    <n v="36"/>
    <s v="#MyntraSale"/>
    <m/>
    <x v="2"/>
    <n v="49303"/>
    <n v="352"/>
    <n v="8.7195505344502364E-2"/>
  </r>
  <r>
    <s v="P038"/>
    <s v="YouTube"/>
    <d v="2025-02-17T00:00:00"/>
    <s v="Reel"/>
    <s v="Explore the latest reel on Myntra! Trendy styles await."/>
    <n v="3138"/>
    <n v="123"/>
    <n v="291"/>
    <n v="3552"/>
    <n v="0.12577012959422137"/>
    <n v="28242"/>
    <n v="27550"/>
    <n v="87"/>
    <s v="#FashionDeals"/>
    <m/>
    <x v="3"/>
    <n v="26455"/>
    <n v="-197"/>
    <n v="0.13426573426573427"/>
  </r>
  <r>
    <s v="P039"/>
    <s v="Facebook"/>
    <d v="2024-11-25T00:00:00"/>
    <s v="Image"/>
    <s v="Explore the latest image on Myntra! Trendy styles await."/>
    <n v="3564"/>
    <n v="629"/>
    <n v="177"/>
    <n v="4370"/>
    <n v="7.2126493695121141E-2"/>
    <n v="60588"/>
    <n v="59627"/>
    <n v="92"/>
    <s v="#FashionDeals"/>
    <s v="#MyntraSale"/>
    <x v="2"/>
    <n v="12384"/>
    <n v="328"/>
    <n v="0.35287467700258396"/>
  </r>
  <r>
    <s v="P040"/>
    <s v="Twitter"/>
    <d v="2025-03-07T00:00:00"/>
    <s v="Image"/>
    <s v="Explore the latest image on Myntra! Trendy styles await."/>
    <n v="4750"/>
    <n v="151"/>
    <n v="415"/>
    <n v="5316"/>
    <n v="0.13989473684210527"/>
    <n v="38000"/>
    <n v="37792"/>
    <n v="299"/>
    <s v="#StyleWithMyntra"/>
    <s v="#MyntraSale"/>
    <x v="1"/>
    <n v="49372"/>
    <n v="319"/>
    <n v="0.10767236490318399"/>
  </r>
  <r>
    <s v="P041"/>
    <s v="Instagram"/>
    <d v="2025-03-08T00:00:00"/>
    <s v="Reel"/>
    <s v="Explore the latest reel on Myntra! Trendy styles await."/>
    <n v="456"/>
    <n v="629"/>
    <n v="428"/>
    <n v="1513"/>
    <n v="0.18433235867446393"/>
    <n v="8208"/>
    <n v="7377"/>
    <n v="205"/>
    <s v="#MyntraSale"/>
    <s v="#FashionDeals"/>
    <x v="2"/>
    <n v="47101"/>
    <n v="1325"/>
    <n v="3.2122460245005417E-2"/>
  </r>
  <r>
    <s v="P042"/>
    <s v="YouTube"/>
    <d v="2025-03-05T00:00:00"/>
    <s v="Reel"/>
    <s v="Explore the latest reel on Myntra! Trendy styles await."/>
    <n v="1543"/>
    <n v="820"/>
    <n v="333"/>
    <n v="2696"/>
    <n v="0.21840570317563188"/>
    <n v="12344"/>
    <n v="11496"/>
    <n v="241"/>
    <s v="#StyleWithMyntra"/>
    <m/>
    <x v="2"/>
    <n v="37903"/>
    <n v="1334"/>
    <n v="7.1128934385141021E-2"/>
  </r>
  <r>
    <s v="P043"/>
    <s v="Instagram"/>
    <d v="2024-12-14T00:00:00"/>
    <s v="Carousel"/>
    <s v="Explore the latest carousel on Myntra! Trendy styles await."/>
    <n v="2174"/>
    <n v="658"/>
    <n v="15"/>
    <n v="2847"/>
    <n v="0.21826126954921804"/>
    <n v="13044"/>
    <n v="12206"/>
    <n v="137"/>
    <s v="#MyntraSale"/>
    <s v="#MyntraFashion"/>
    <x v="3"/>
    <n v="33258"/>
    <n v="37"/>
    <n v="8.5603463828251847E-2"/>
  </r>
  <r>
    <s v="P044"/>
    <s v="Twitter"/>
    <d v="2025-03-02T00:00:00"/>
    <s v="Image"/>
    <s v="Explore the latest image on Myntra! Trendy styles await."/>
    <n v="2358"/>
    <n v="784"/>
    <n v="344"/>
    <n v="3486"/>
    <n v="9.8558100084817649E-2"/>
    <n v="35370"/>
    <n v="34475"/>
    <n v="216"/>
    <s v="#MyntraSale"/>
    <s v="#StyleWithMyntra"/>
    <x v="0"/>
    <n v="6915"/>
    <n v="1032"/>
    <n v="0.50412147505422988"/>
  </r>
  <r>
    <s v="P045"/>
    <s v="Facebook"/>
    <d v="2024-11-01T00:00:00"/>
    <s v="Video"/>
    <s v="Explore the latest video on Myntra! Trendy styles await."/>
    <n v="3371"/>
    <n v="106"/>
    <n v="327"/>
    <n v="3804"/>
    <n v="7.5229902106199939E-2"/>
    <n v="50565"/>
    <n v="49816"/>
    <n v="176"/>
    <s v="#FashionDeals"/>
    <m/>
    <x v="3"/>
    <n v="35501"/>
    <n v="76"/>
    <n v="0.10715191121376863"/>
  </r>
  <r>
    <s v="P046"/>
    <s v="Twitter"/>
    <d v="2025-05-02T00:00:00"/>
    <s v="Video"/>
    <s v="Explore the latest video on Myntra! Trendy styles await."/>
    <n v="1108"/>
    <n v="177"/>
    <n v="212"/>
    <n v="1497"/>
    <n v="0.16888537906137185"/>
    <n v="8864"/>
    <n v="8710"/>
    <n v="97"/>
    <s v="#MyntraFashion"/>
    <m/>
    <x v="3"/>
    <n v="14203"/>
    <n v="1058"/>
    <n v="0.10540026754910935"/>
  </r>
  <r>
    <s v="P047"/>
    <s v="Twitter"/>
    <d v="2025-02-24T00:00:00"/>
    <s v="Carousel"/>
    <s v="Explore the latest carousel on Myntra! Trendy styles await."/>
    <n v="2704"/>
    <n v="752"/>
    <n v="153"/>
    <n v="3609"/>
    <n v="0.16683616863905326"/>
    <n v="21632"/>
    <n v="20792"/>
    <n v="127"/>
    <s v="#FashionDeals"/>
    <s v="#MyntraFashion"/>
    <x v="0"/>
    <n v="22206"/>
    <n v="1665"/>
    <n v="0.16252364225884897"/>
  </r>
  <r>
    <s v="P048"/>
    <s v="Twitter"/>
    <d v="2025-03-11T00:00:00"/>
    <s v="Story"/>
    <s v="Explore the latest story on Myntra! Trendy styles await."/>
    <n v="1950"/>
    <n v="295"/>
    <n v="478"/>
    <n v="2723"/>
    <n v="7.349527665317139E-2"/>
    <n v="37050"/>
    <n v="36272"/>
    <n v="119"/>
    <s v="#MyntraFashion"/>
    <s v="#StyleWithMyntra"/>
    <x v="3"/>
    <n v="10283"/>
    <n v="190"/>
    <n v="0.26480599046970726"/>
  </r>
  <r>
    <s v="P049"/>
    <s v="Twitter"/>
    <d v="2024-06-10T00:00:00"/>
    <s v="Story"/>
    <s v="Explore the latest story on Myntra! Trendy styles await."/>
    <n v="2164"/>
    <n v="549"/>
    <n v="274"/>
    <n v="2987"/>
    <n v="0.10617801791554102"/>
    <n v="28132"/>
    <n v="27361"/>
    <n v="177"/>
    <s v="#StyleWithMyntra"/>
    <m/>
    <x v="0"/>
    <n v="24913"/>
    <n v="1609"/>
    <n v="0.11989724240356441"/>
  </r>
  <r>
    <s v="P050"/>
    <s v="YouTube"/>
    <d v="2024-07-03T00:00:00"/>
    <s v="Story"/>
    <s v="Explore the latest story on Myntra! Trendy styles await."/>
    <n v="2754"/>
    <n v="130"/>
    <n v="90"/>
    <n v="2974"/>
    <n v="0.13498547567175018"/>
    <n v="22032"/>
    <n v="21288"/>
    <n v="112"/>
    <s v="#MyntraFashion"/>
    <m/>
    <x v="0"/>
    <n v="26925"/>
    <n v="37"/>
    <n v="0.11045496750232127"/>
  </r>
  <r>
    <s v="P051"/>
    <s v="Facebook"/>
    <d v="2024-06-13T00:00:00"/>
    <s v="Carousel"/>
    <s v="Explore the latest carousel on Myntra! Trendy styles await."/>
    <n v="2200"/>
    <n v="504"/>
    <n v="239"/>
    <n v="2943"/>
    <n v="7.8689839572192513E-2"/>
    <n v="37400"/>
    <n v="36938"/>
    <n v="225"/>
    <s v="#MyntraSale"/>
    <m/>
    <x v="2"/>
    <n v="9942"/>
    <n v="1229"/>
    <n v="0.29601689800844899"/>
  </r>
  <r>
    <s v="P052"/>
    <s v="Facebook"/>
    <d v="2025-01-03T00:00:00"/>
    <s v="Image"/>
    <s v="Explore the latest image on Myntra! Trendy styles await."/>
    <n v="947"/>
    <n v="338"/>
    <n v="350"/>
    <n v="1635"/>
    <n v="0.1569549774407219"/>
    <n v="10417"/>
    <n v="9730"/>
    <n v="34"/>
    <s v="#MyntraFashion"/>
    <s v="#MyntraSale"/>
    <x v="2"/>
    <n v="32929"/>
    <n v="28"/>
    <n v="4.9652282182878316E-2"/>
  </r>
  <r>
    <s v="P053"/>
    <s v="YouTube"/>
    <d v="2025-02-24T00:00:00"/>
    <s v="Carousel"/>
    <s v="Explore the latest carousel on Myntra! Trendy styles await."/>
    <n v="804"/>
    <n v="639"/>
    <n v="43"/>
    <n v="1486"/>
    <n v="0.36965174129353234"/>
    <n v="4020"/>
    <n v="3144"/>
    <n v="11"/>
    <s v="#StyleWithMyntra"/>
    <s v="#MyntraTrend"/>
    <x v="3"/>
    <n v="37829"/>
    <n v="1247"/>
    <n v="3.9282032303259405E-2"/>
  </r>
  <r>
    <s v="P054"/>
    <s v="YouTube"/>
    <d v="2025-03-13T00:00:00"/>
    <s v="Carousel"/>
    <s v="Explore the latest carousel on Myntra! Trendy styles await."/>
    <n v="1686"/>
    <n v="904"/>
    <n v="472"/>
    <n v="3062"/>
    <n v="0.16510298716704411"/>
    <n v="18546"/>
    <n v="18171"/>
    <n v="52"/>
    <s v="#MyntraFashion"/>
    <s v="#FashionDeals"/>
    <x v="1"/>
    <n v="24384"/>
    <n v="1045"/>
    <n v="0.1255741469816273"/>
  </r>
  <r>
    <s v="P055"/>
    <s v="Facebook"/>
    <d v="2024-06-17T00:00:00"/>
    <s v="Image"/>
    <s v="Explore the latest image on Myntra! Trendy styles await."/>
    <n v="1226"/>
    <n v="119"/>
    <n v="7"/>
    <n v="1352"/>
    <n v="9.1897770527460579E-2"/>
    <n v="14712"/>
    <n v="14049"/>
    <n v="123"/>
    <s v="#MyntraSale"/>
    <s v="#MyntraTrend"/>
    <x v="3"/>
    <n v="25797"/>
    <n v="197"/>
    <n v="5.2409194867620267E-2"/>
  </r>
  <r>
    <s v="P056"/>
    <s v="Facebook"/>
    <d v="2024-12-18T00:00:00"/>
    <s v="Carousel"/>
    <s v="Explore the latest carousel on Myntra! Trendy styles await."/>
    <n v="2946"/>
    <n v="498"/>
    <n v="367"/>
    <n v="3811"/>
    <n v="0.12936184657162253"/>
    <n v="29460"/>
    <n v="28527"/>
    <n v="60"/>
    <s v="#StyleWithMyntra"/>
    <s v="#FashionDeals"/>
    <x v="1"/>
    <n v="12646"/>
    <n v="333"/>
    <n v="0.30136011386999839"/>
  </r>
  <r>
    <s v="P057"/>
    <s v="Twitter"/>
    <d v="2024-10-21T00:00:00"/>
    <s v="Video"/>
    <s v="Explore the latest video on Myntra! Trendy styles await."/>
    <n v="2825"/>
    <n v="535"/>
    <n v="295"/>
    <n v="3655"/>
    <n v="8.0862831858407078E-2"/>
    <n v="45200"/>
    <n v="44739"/>
    <n v="169"/>
    <s v="#StyleWithMyntra"/>
    <m/>
    <x v="1"/>
    <n v="26663"/>
    <n v="1572"/>
    <n v="0.13708134868544425"/>
  </r>
  <r>
    <s v="P058"/>
    <s v="Instagram"/>
    <d v="2025-04-15T00:00:00"/>
    <s v="Reel"/>
    <s v="Explore the latest reel on Myntra! Trendy styles await."/>
    <n v="103"/>
    <n v="770"/>
    <n v="19"/>
    <n v="892"/>
    <n v="0.86601941747572819"/>
    <n v="1030"/>
    <n v="410"/>
    <n v="262"/>
    <s v="#MyntraSale"/>
    <m/>
    <x v="2"/>
    <n v="40478"/>
    <n v="1428"/>
    <n v="2.2036661890409606E-2"/>
  </r>
  <r>
    <s v="P059"/>
    <s v="Instagram"/>
    <d v="2024-06-22T00:00:00"/>
    <s v="Text"/>
    <s v="Explore the latest text on Myntra! Trendy styles await."/>
    <n v="2180"/>
    <n v="263"/>
    <n v="387"/>
    <n v="2830"/>
    <n v="9.2726081258191345E-2"/>
    <n v="30520"/>
    <n v="30059"/>
    <n v="174"/>
    <s v="#FashionDeals"/>
    <m/>
    <x v="0"/>
    <n v="15476"/>
    <n v="260"/>
    <n v="0.18286378909278883"/>
  </r>
  <r>
    <s v="P060"/>
    <s v="Instagram"/>
    <d v="2025-01-28T00:00:00"/>
    <s v="Video"/>
    <s v="Explore the latest video on Myntra! Trendy styles await."/>
    <n v="904"/>
    <n v="973"/>
    <n v="63"/>
    <n v="1940"/>
    <n v="0.1650782845473111"/>
    <n v="11752"/>
    <n v="11580"/>
    <n v="84"/>
    <s v="#StyleWithMyntra"/>
    <m/>
    <x v="0"/>
    <n v="10217"/>
    <n v="1100"/>
    <n v="0.18987961241068807"/>
  </r>
  <r>
    <s v="P061"/>
    <s v="Twitter"/>
    <d v="2024-09-05T00:00:00"/>
    <s v="Video"/>
    <s v="Explore the latest video on Myntra! Trendy styles await."/>
    <n v="4886"/>
    <n v="983"/>
    <n v="409"/>
    <n v="6278"/>
    <n v="0.14276618001546368"/>
    <n v="43974"/>
    <n v="43239"/>
    <n v="65"/>
    <s v="#MyntraFashion"/>
    <m/>
    <x v="0"/>
    <n v="21939"/>
    <n v="377"/>
    <n v="0.28615707188112494"/>
  </r>
  <r>
    <s v="P062"/>
    <s v="Twitter"/>
    <d v="2024-11-22T00:00:00"/>
    <s v="Carousel"/>
    <s v="Explore the latest carousel on Myntra! Trendy styles await."/>
    <n v="53"/>
    <n v="81"/>
    <n v="379"/>
    <n v="513"/>
    <n v="0.53773584905660377"/>
    <n v="954"/>
    <n v="7"/>
    <n v="148"/>
    <s v="#FashionDeals"/>
    <m/>
    <x v="2"/>
    <n v="47462"/>
    <n v="98"/>
    <n v="1.0808646917534028E-2"/>
  </r>
  <r>
    <s v="P063"/>
    <s v="Twitter"/>
    <d v="2024-07-31T00:00:00"/>
    <s v="Carousel"/>
    <s v="Explore the latest carousel on Myntra! Trendy styles await."/>
    <n v="4507"/>
    <n v="217"/>
    <n v="13"/>
    <n v="4737"/>
    <n v="5.2551586421122697E-2"/>
    <n v="90140"/>
    <n v="89591"/>
    <n v="125"/>
    <s v="#MyntraSale"/>
    <m/>
    <x v="0"/>
    <n v="30270"/>
    <n v="1125"/>
    <n v="0.15649157581764123"/>
  </r>
  <r>
    <s v="P064"/>
    <s v="Facebook"/>
    <d v="2024-08-17T00:00:00"/>
    <s v="Image"/>
    <s v="Explore the latest image on Myntra! Trendy styles await."/>
    <n v="2878"/>
    <n v="248"/>
    <n v="416"/>
    <n v="3542"/>
    <n v="8.2047718322909427E-2"/>
    <n v="43170"/>
    <n v="42667"/>
    <n v="75"/>
    <s v="#FashionDeals"/>
    <s v="#MyntraTrend"/>
    <x v="1"/>
    <n v="5442"/>
    <n v="-32"/>
    <n v="0.65086365306872473"/>
  </r>
  <r>
    <s v="P065"/>
    <s v="Instagram"/>
    <d v="2025-03-28T00:00:00"/>
    <s v="Story"/>
    <s v="Explore the latest story on Myntra! Trendy styles await."/>
    <n v="1881"/>
    <n v="501"/>
    <n v="99"/>
    <n v="2481"/>
    <n v="0.11990720603160794"/>
    <n v="20691"/>
    <n v="19987"/>
    <n v="289"/>
    <s v="#FashionDeals"/>
    <m/>
    <x v="1"/>
    <n v="1083"/>
    <n v="666"/>
    <n v="2.290858725761773"/>
  </r>
  <r>
    <s v="P066"/>
    <s v="Twitter"/>
    <d v="2024-07-26T00:00:00"/>
    <s v="Carousel"/>
    <s v="Explore the latest carousel on Myntra! Trendy styles await."/>
    <n v="432"/>
    <n v="171"/>
    <n v="280"/>
    <n v="883"/>
    <n v="0.29199735449735448"/>
    <n v="3024"/>
    <n v="2285"/>
    <n v="184"/>
    <s v="#MyntraFashion"/>
    <m/>
    <x v="2"/>
    <n v="11901"/>
    <n v="-19"/>
    <n v="7.4195445760860429E-2"/>
  </r>
  <r>
    <s v="P067"/>
    <s v="Facebook"/>
    <d v="2025-03-29T00:00:00"/>
    <s v="Carousel"/>
    <s v="Explore the latest carousel on Myntra! Trendy styles await."/>
    <n v="4712"/>
    <n v="568"/>
    <n v="127"/>
    <n v="5407"/>
    <n v="6.3749764195434822E-2"/>
    <n v="84816"/>
    <n v="84691"/>
    <n v="100"/>
    <s v="#FashionDeals"/>
    <m/>
    <x v="0"/>
    <n v="24018"/>
    <n v="1680"/>
    <n v="0.22512282454825547"/>
  </r>
  <r>
    <s v="P068"/>
    <s v="Instagram"/>
    <d v="2024-12-08T00:00:00"/>
    <s v="Story"/>
    <s v="Explore the latest story on Myntra! Trendy styles await."/>
    <n v="2610"/>
    <n v="126"/>
    <n v="288"/>
    <n v="3024"/>
    <n v="0.19310344827586207"/>
    <n v="15660"/>
    <n v="15145"/>
    <n v="73"/>
    <s v="#MyntraFashion"/>
    <m/>
    <x v="0"/>
    <n v="38883"/>
    <n v="1006"/>
    <n v="7.7771776869068748E-2"/>
  </r>
  <r>
    <s v="P069"/>
    <s v="Twitter"/>
    <d v="2025-03-08T00:00:00"/>
    <s v="Text"/>
    <s v="Explore the latest text on Myntra! Trendy styles await."/>
    <n v="1292"/>
    <n v="626"/>
    <n v="496"/>
    <n v="2414"/>
    <n v="9.3421052631578946E-2"/>
    <n v="25840"/>
    <n v="24916"/>
    <n v="149"/>
    <s v="#StyleWithMyntra"/>
    <s v="#MyntraTrend"/>
    <x v="3"/>
    <n v="30575"/>
    <n v="1025"/>
    <n v="7.8953393295175797E-2"/>
  </r>
  <r>
    <s v="P070"/>
    <s v="Facebook"/>
    <d v="2025-04-02T00:00:00"/>
    <s v="Video"/>
    <s v="Explore the latest video on Myntra! Trendy styles await."/>
    <n v="199"/>
    <n v="772"/>
    <n v="400"/>
    <n v="1371"/>
    <n v="0.38274706867671693"/>
    <n v="3582"/>
    <n v="2988"/>
    <n v="43"/>
    <s v="#MyntraTrend"/>
    <m/>
    <x v="0"/>
    <n v="2315"/>
    <n v="-179"/>
    <n v="0.59222462203023762"/>
  </r>
  <r>
    <s v="P071"/>
    <s v="YouTube"/>
    <d v="2024-09-02T00:00:00"/>
    <s v="Carousel"/>
    <s v="Explore the latest carousel on Myntra! Trendy styles await."/>
    <n v="2551"/>
    <n v="915"/>
    <n v="205"/>
    <n v="3671"/>
    <n v="0.1199202926956749"/>
    <n v="30612"/>
    <n v="30360"/>
    <n v="227"/>
    <s v="#MyntraSale"/>
    <s v="#FashionDeals"/>
    <x v="1"/>
    <n v="12148"/>
    <n v="599"/>
    <n v="0.30218966084952253"/>
  </r>
  <r>
    <s v="P072"/>
    <s v="YouTube"/>
    <d v="2025-03-03T00:00:00"/>
    <s v="Reel"/>
    <s v="Explore the latest reel on Myntra! Trendy styles await."/>
    <n v="296"/>
    <n v="60"/>
    <n v="141"/>
    <n v="497"/>
    <n v="8.837126600284495E-2"/>
    <n v="5624"/>
    <n v="5239"/>
    <n v="88"/>
    <s v="#MyntraTrend"/>
    <m/>
    <x v="3"/>
    <n v="36851"/>
    <n v="1706"/>
    <n v="1.3486743914683455E-2"/>
  </r>
  <r>
    <s v="P073"/>
    <s v="Facebook"/>
    <d v="2024-10-18T00:00:00"/>
    <s v="Story"/>
    <s v="Explore the latest story on Myntra! Trendy styles await."/>
    <n v="4126"/>
    <n v="426"/>
    <n v="486"/>
    <n v="5038"/>
    <n v="6.4265122330790625E-2"/>
    <n v="78394"/>
    <n v="77798"/>
    <n v="88"/>
    <s v="#MyntraFashion"/>
    <m/>
    <x v="0"/>
    <n v="41215"/>
    <n v="1872"/>
    <n v="0.12223704961785757"/>
  </r>
  <r>
    <s v="P074"/>
    <s v="YouTube"/>
    <d v="2024-10-28T00:00:00"/>
    <s v="Reel"/>
    <s v="Explore the latest reel on Myntra! Trendy styles await."/>
    <n v="1855"/>
    <n v="200"/>
    <n v="174"/>
    <n v="2229"/>
    <n v="0.13351302785265048"/>
    <n v="16695"/>
    <n v="16330"/>
    <n v="123"/>
    <s v="#MyntraFashion"/>
    <m/>
    <x v="2"/>
    <n v="43836"/>
    <n v="1662"/>
    <n v="5.0848617574596224E-2"/>
  </r>
  <r>
    <s v="P075"/>
    <s v="Instagram"/>
    <d v="2024-08-01T00:00:00"/>
    <s v="Reel"/>
    <s v="Explore the latest reel on Myntra! Trendy styles await."/>
    <n v="1674"/>
    <n v="929"/>
    <n v="37"/>
    <n v="2640"/>
    <n v="0.12131237937689551"/>
    <n v="21762"/>
    <n v="20998"/>
    <n v="255"/>
    <s v="#StyleWithMyntra"/>
    <s v="#FashionDeals"/>
    <x v="2"/>
    <n v="4509"/>
    <n v="107"/>
    <n v="0.58549567531603464"/>
  </r>
  <r>
    <s v="P076"/>
    <s v="Twitter"/>
    <d v="2024-11-07T00:00:00"/>
    <s v="Story"/>
    <s v="Explore the latest story on Myntra! Trendy styles await."/>
    <n v="1121"/>
    <n v="135"/>
    <n v="18"/>
    <n v="1274"/>
    <n v="8.1177520071364848E-2"/>
    <n v="15694"/>
    <n v="14957"/>
    <n v="99"/>
    <s v="#MyntraSale"/>
    <s v="#MyntraFashion"/>
    <x v="3"/>
    <n v="27822"/>
    <n v="118"/>
    <n v="4.5791100567895912E-2"/>
  </r>
  <r>
    <s v="P077"/>
    <s v="Facebook"/>
    <d v="2025-03-04T00:00:00"/>
    <s v="Story"/>
    <s v="Explore the latest story on Myntra! Trendy styles await."/>
    <n v="1249"/>
    <n v="116"/>
    <n v="420"/>
    <n v="1785"/>
    <n v="0.20416333066453163"/>
    <n v="8743"/>
    <n v="8538"/>
    <n v="63"/>
    <s v="#MyntraFashion"/>
    <s v="#FashionDeals"/>
    <x v="2"/>
    <n v="36397"/>
    <n v="1224"/>
    <n v="4.9042503503035961E-2"/>
  </r>
  <r>
    <s v="P078"/>
    <s v="Twitter"/>
    <d v="2024-06-17T00:00:00"/>
    <s v="Image"/>
    <s v="Explore the latest image on Myntra! Trendy styles await."/>
    <n v="954"/>
    <n v="324"/>
    <n v="288"/>
    <n v="1566"/>
    <n v="8.2075471698113203E-2"/>
    <n v="19080"/>
    <n v="18859"/>
    <n v="21"/>
    <s v="#MyntraTrend"/>
    <m/>
    <x v="2"/>
    <n v="7285"/>
    <n v="285"/>
    <n v="0.21496225120109816"/>
  </r>
  <r>
    <s v="P079"/>
    <s v="Instagram"/>
    <d v="2024-10-09T00:00:00"/>
    <s v="Carousel"/>
    <s v="Explore the latest carousel on Myntra! Trendy styles await."/>
    <n v="3068"/>
    <n v="137"/>
    <n v="329"/>
    <n v="3534"/>
    <n v="8.860696018453515E-2"/>
    <n v="39884"/>
    <n v="39404"/>
    <n v="266"/>
    <s v="#MyntraSale"/>
    <s v="#MyntraTrend"/>
    <x v="2"/>
    <n v="33174"/>
    <n v="-20"/>
    <n v="0.10652920962199312"/>
  </r>
  <r>
    <s v="P080"/>
    <s v="Instagram"/>
    <d v="2024-06-13T00:00:00"/>
    <s v="Story"/>
    <s v="Explore the latest story on Myntra! Trendy styles await."/>
    <n v="2103"/>
    <n v="892"/>
    <n v="103"/>
    <n v="3098"/>
    <n v="7.7533348349475686E-2"/>
    <n v="39957"/>
    <n v="39466"/>
    <n v="28"/>
    <s v="#FashionDeals"/>
    <s v="#MyntraFashion"/>
    <x v="1"/>
    <n v="6742"/>
    <n v="367"/>
    <n v="0.45950756452091368"/>
  </r>
  <r>
    <s v="P081"/>
    <s v="Instagram"/>
    <d v="2024-10-19T00:00:00"/>
    <s v="Story"/>
    <s v="Explore the latest story on Myntra! Trendy styles await."/>
    <n v="1816"/>
    <n v="29"/>
    <n v="41"/>
    <n v="1886"/>
    <n v="9.4413295955146179E-2"/>
    <n v="19976"/>
    <n v="19262"/>
    <n v="283"/>
    <s v="#MyntraTrend"/>
    <s v="#MyntraSale"/>
    <x v="2"/>
    <n v="32478"/>
    <n v="262"/>
    <n v="5.8070078206786134E-2"/>
  </r>
  <r>
    <s v="P082"/>
    <s v="Instagram"/>
    <d v="2024-07-24T00:00:00"/>
    <s v="Image"/>
    <s v="Explore the latest image on Myntra! Trendy styles await."/>
    <n v="725"/>
    <n v="88"/>
    <n v="428"/>
    <n v="1241"/>
    <n v="8.558620689655172E-2"/>
    <n v="14500"/>
    <n v="13637"/>
    <n v="200"/>
    <s v="#MyntraTrend"/>
    <m/>
    <x v="2"/>
    <n v="42824"/>
    <n v="439"/>
    <n v="2.8979077152998318E-2"/>
  </r>
  <r>
    <s v="P083"/>
    <s v="YouTube"/>
    <d v="2024-10-15T00:00:00"/>
    <s v="Video"/>
    <s v="Explore the latest video on Myntra! Trendy styles await."/>
    <n v="1094"/>
    <n v="472"/>
    <n v="21"/>
    <n v="1587"/>
    <n v="0.16118220597196831"/>
    <n v="9846"/>
    <n v="9609"/>
    <n v="112"/>
    <s v="#MyntraTrend"/>
    <s v="#StyleWithMyntra"/>
    <x v="2"/>
    <n v="21208"/>
    <n v="636"/>
    <n v="7.4830252734817054E-2"/>
  </r>
  <r>
    <s v="P084"/>
    <s v="Facebook"/>
    <d v="2024-12-09T00:00:00"/>
    <s v="Image"/>
    <s v="Explore the latest image on Myntra! Trendy styles await."/>
    <n v="1841"/>
    <n v="851"/>
    <n v="342"/>
    <n v="3034"/>
    <n v="8.6737756939878216E-2"/>
    <n v="34979"/>
    <n v="34154"/>
    <n v="255"/>
    <s v="#MyntraFashion"/>
    <s v="#FashionDeals"/>
    <x v="0"/>
    <n v="44321"/>
    <n v="1484"/>
    <n v="6.8455134135060131E-2"/>
  </r>
  <r>
    <s v="P085"/>
    <s v="Instagram"/>
    <d v="2025-04-19T00:00:00"/>
    <s v="Image"/>
    <s v="Explore the latest image on Myntra! Trendy styles await."/>
    <n v="4177"/>
    <n v="569"/>
    <n v="55"/>
    <n v="4801"/>
    <n v="0.19156491900087783"/>
    <n v="25062"/>
    <n v="24847"/>
    <n v="230"/>
    <s v="#MyntraFashion"/>
    <m/>
    <x v="0"/>
    <n v="13116"/>
    <n v="576"/>
    <n v="0.36604147605977433"/>
  </r>
  <r>
    <s v="P086"/>
    <s v="YouTube"/>
    <d v="2025-01-27T00:00:00"/>
    <s v="Text"/>
    <s v="Explore the latest text on Myntra! Trendy styles await."/>
    <n v="3428"/>
    <n v="305"/>
    <n v="85"/>
    <n v="3818"/>
    <n v="6.5515821264328367E-2"/>
    <n v="58276"/>
    <n v="58052"/>
    <n v="242"/>
    <s v="#MyntraTrend"/>
    <s v="#StyleWithMyntra"/>
    <x v="2"/>
    <n v="30214"/>
    <n v="386"/>
    <n v="0.12636526113722116"/>
  </r>
  <r>
    <s v="P087"/>
    <s v="Twitter"/>
    <d v="2024-06-06T00:00:00"/>
    <s v="Video"/>
    <s v="Explore the latest video on Myntra! Trendy styles await."/>
    <n v="1436"/>
    <n v="765"/>
    <n v="496"/>
    <n v="2697"/>
    <n v="0.20868152274837512"/>
    <n v="12924"/>
    <n v="12701"/>
    <n v="197"/>
    <s v="#MyntraTrend"/>
    <s v="#MyntraSale"/>
    <x v="1"/>
    <n v="15827"/>
    <n v="37"/>
    <n v="0.17040500410690593"/>
  </r>
  <r>
    <s v="P088"/>
    <s v="Facebook"/>
    <d v="2024-07-07T00:00:00"/>
    <s v="Story"/>
    <s v="Explore the latest story on Myntra! Trendy styles await."/>
    <n v="302"/>
    <n v="47"/>
    <n v="430"/>
    <n v="779"/>
    <n v="0.13576158940397351"/>
    <n v="5738"/>
    <n v="4890"/>
    <n v="25"/>
    <s v="#MyntraFashion"/>
    <s v="#MyntraSale"/>
    <x v="1"/>
    <n v="46643"/>
    <n v="1657"/>
    <n v="1.6701327101601528E-2"/>
  </r>
  <r>
    <s v="P089"/>
    <s v="Twitter"/>
    <d v="2025-01-10T00:00:00"/>
    <s v="Image"/>
    <s v="Explore the latest image on Myntra! Trendy styles await."/>
    <n v="2214"/>
    <n v="249"/>
    <n v="152"/>
    <n v="2615"/>
    <n v="0.16873144921925409"/>
    <n v="15498"/>
    <n v="14800"/>
    <n v="180"/>
    <s v="#MyntraSale"/>
    <m/>
    <x v="1"/>
    <n v="36484"/>
    <n v="1397"/>
    <n v="7.1675254906260283E-2"/>
  </r>
  <r>
    <s v="P090"/>
    <s v="Instagram"/>
    <d v="2024-06-03T00:00:00"/>
    <s v="Image"/>
    <s v="Explore the latest image on Myntra! Trendy styles await."/>
    <n v="3861"/>
    <n v="960"/>
    <n v="101"/>
    <n v="4922"/>
    <n v="7.0822181933293038E-2"/>
    <n v="69498"/>
    <n v="68817"/>
    <n v="297"/>
    <s v="#MyntraFashion"/>
    <m/>
    <x v="1"/>
    <n v="4996"/>
    <n v="540"/>
    <n v="0.98518815052041631"/>
  </r>
  <r>
    <s v="P091"/>
    <s v="Facebook"/>
    <d v="2025-03-24T00:00:00"/>
    <s v="Image"/>
    <s v="Explore the latest image on Myntra! Trendy styles await."/>
    <n v="1263"/>
    <n v="397"/>
    <n v="357"/>
    <n v="2017"/>
    <n v="7.984956452889945E-2"/>
    <n v="25260"/>
    <n v="24615"/>
    <n v="137"/>
    <s v="#MyntraSale"/>
    <m/>
    <x v="1"/>
    <n v="36095"/>
    <n v="1603"/>
    <n v="5.5880315833217897E-2"/>
  </r>
  <r>
    <s v="P092"/>
    <s v="Twitter"/>
    <d v="2024-10-21T00:00:00"/>
    <s v="Story"/>
    <s v="Explore the latest story on Myntra! Trendy styles await."/>
    <n v="3801"/>
    <n v="967"/>
    <n v="401"/>
    <n v="5169"/>
    <n v="0.13599052880820836"/>
    <n v="38010"/>
    <n v="37625"/>
    <n v="236"/>
    <s v="#StyleWithMyntra"/>
    <m/>
    <x v="3"/>
    <n v="16443"/>
    <n v="1044"/>
    <n v="0.31435869366903851"/>
  </r>
  <r>
    <s v="P093"/>
    <s v="Instagram"/>
    <d v="2024-12-11T00:00:00"/>
    <s v="Video"/>
    <s v="Explore the latest video on Myntra! Trendy styles await."/>
    <n v="1431"/>
    <n v="951"/>
    <n v="26"/>
    <n v="2408"/>
    <n v="0.28045655718611695"/>
    <n v="8586"/>
    <n v="8396"/>
    <n v="150"/>
    <s v="#MyntraTrend"/>
    <s v="#FashionDeals"/>
    <x v="0"/>
    <n v="47812"/>
    <n v="902"/>
    <n v="5.0363925374383001E-2"/>
  </r>
  <r>
    <s v="P094"/>
    <s v="Instagram"/>
    <d v="2024-11-07T00:00:00"/>
    <s v="Image"/>
    <s v="Explore the latest image on Myntra! Trendy styles await."/>
    <n v="2647"/>
    <n v="304"/>
    <n v="170"/>
    <n v="3121"/>
    <n v="0.16843866371633656"/>
    <n v="18529"/>
    <n v="17841"/>
    <n v="46"/>
    <s v="#StyleWithMyntra"/>
    <m/>
    <x v="1"/>
    <n v="38452"/>
    <n v="-106"/>
    <n v="8.1166129200041612E-2"/>
  </r>
  <r>
    <s v="P095"/>
    <s v="Instagram"/>
    <d v="2024-11-08T00:00:00"/>
    <s v="Text"/>
    <s v="Explore the latest text on Myntra! Trendy styles await."/>
    <n v="3182"/>
    <n v="559"/>
    <n v="160"/>
    <n v="3901"/>
    <n v="6.8108806480899509E-2"/>
    <n v="57276"/>
    <n v="56890"/>
    <n v="163"/>
    <s v="#StyleWithMyntra"/>
    <s v="#MyntraTrend"/>
    <x v="1"/>
    <n v="30428"/>
    <n v="1150"/>
    <n v="0.12820428552648877"/>
  </r>
  <r>
    <s v="P096"/>
    <s v="Twitter"/>
    <d v="2024-09-10T00:00:00"/>
    <s v="Image"/>
    <s v="Explore the latest image on Myntra! Trendy styles await."/>
    <n v="1238"/>
    <n v="366"/>
    <n v="444"/>
    <n v="2048"/>
    <n v="0.10339256865912763"/>
    <n v="19808"/>
    <n v="19334"/>
    <n v="123"/>
    <s v="#FashionDeals"/>
    <m/>
    <x v="2"/>
    <n v="9269"/>
    <n v="349"/>
    <n v="0.22095155895997412"/>
  </r>
  <r>
    <s v="P097"/>
    <s v="Instagram"/>
    <d v="2024-08-13T00:00:00"/>
    <s v="Image"/>
    <s v="Explore the latest image on Myntra! Trendy styles await."/>
    <n v="4739"/>
    <n v="527"/>
    <n v="135"/>
    <n v="5401"/>
    <n v="8.7668609086629767E-2"/>
    <n v="61607"/>
    <n v="61333"/>
    <n v="36"/>
    <s v="#StyleWithMyntra"/>
    <s v="#MyntraSale"/>
    <x v="1"/>
    <n v="29533"/>
    <n v="-49"/>
    <n v="0.1828801679477195"/>
  </r>
  <r>
    <s v="P098"/>
    <s v="Twitter"/>
    <d v="2024-06-10T00:00:00"/>
    <s v="Story"/>
    <s v="Explore the latest story on Myntra! Trendy styles await."/>
    <n v="1575"/>
    <n v="771"/>
    <n v="486"/>
    <n v="2832"/>
    <n v="0.11238095238095239"/>
    <n v="25200"/>
    <n v="24826"/>
    <n v="17"/>
    <s v="#StyleWithMyntra"/>
    <m/>
    <x v="2"/>
    <n v="39997"/>
    <n v="72"/>
    <n v="7.0805310398279878E-2"/>
  </r>
  <r>
    <s v="P099"/>
    <s v="YouTube"/>
    <d v="2024-07-02T00:00:00"/>
    <s v="Carousel"/>
    <s v="Explore the latest carousel on Myntra! Trendy styles await."/>
    <n v="4171"/>
    <n v="548"/>
    <n v="86"/>
    <n v="4805"/>
    <n v="7.2000119875329657E-2"/>
    <n v="66736"/>
    <n v="66634"/>
    <n v="173"/>
    <s v="#StyleWithMyntra"/>
    <m/>
    <x v="2"/>
    <n v="5391"/>
    <n v="445"/>
    <n v="0.89130031534038212"/>
  </r>
  <r>
    <s v="P100"/>
    <s v="YouTube"/>
    <d v="2025-02-10T00:00:00"/>
    <s v="Video"/>
    <s v="Explore the latest video on Myntra! Trendy styles await."/>
    <n v="1766"/>
    <n v="92"/>
    <n v="424"/>
    <n v="2282"/>
    <n v="9.2298980747451867E-2"/>
    <n v="24724"/>
    <n v="24333"/>
    <n v="52"/>
    <s v="#StyleWithMyntra"/>
    <m/>
    <x v="0"/>
    <n v="22373"/>
    <n v="60"/>
    <n v="0.10199794395029724"/>
  </r>
  <r>
    <s v="P101"/>
    <s v="YouTube"/>
    <d v="2024-10-18T00:00:00"/>
    <s v="Video"/>
    <s v="Explore the latest video on Myntra! Trendy styles await."/>
    <n v="4450"/>
    <n v="983"/>
    <n v="143"/>
    <n v="5576"/>
    <n v="7.3707865168539333E-2"/>
    <n v="75650"/>
    <n v="75008"/>
    <n v="12"/>
    <s v="#MyntraSale"/>
    <s v="#StyleWithMyntra"/>
    <x v="1"/>
    <n v="1810"/>
    <n v="1693"/>
    <n v="3.0806629834254142"/>
  </r>
  <r>
    <s v="P102"/>
    <s v="Twitter"/>
    <d v="2024-09-18T00:00:00"/>
    <s v="Reel"/>
    <s v="Explore the latest reel on Myntra! Trendy styles await."/>
    <n v="1000"/>
    <n v="978"/>
    <n v="162"/>
    <n v="2140"/>
    <n v="0.35666666666666669"/>
    <n v="6000"/>
    <n v="5221"/>
    <n v="223"/>
    <s v="#MyntraTrend"/>
    <s v="#MyntraFashion"/>
    <x v="2"/>
    <n v="28498"/>
    <n v="1332"/>
    <n v="7.5092988981682929E-2"/>
  </r>
  <r>
    <s v="P103"/>
    <s v="Facebook"/>
    <d v="2024-06-11T00:00:00"/>
    <s v="Image"/>
    <s v="Explore the latest image on Myntra! Trendy styles await."/>
    <n v="3689"/>
    <n v="48"/>
    <n v="306"/>
    <n v="4043"/>
    <n v="9.9632815002833983E-2"/>
    <n v="40579"/>
    <n v="39588"/>
    <n v="212"/>
    <s v="#MyntraTrend"/>
    <m/>
    <x v="0"/>
    <n v="39530"/>
    <n v="98"/>
    <n v="0.10227675183405009"/>
  </r>
  <r>
    <s v="P104"/>
    <s v="YouTube"/>
    <d v="2025-03-23T00:00:00"/>
    <s v="Story"/>
    <s v="Explore the latest story on Myntra! Trendy styles await."/>
    <n v="3655"/>
    <n v="568"/>
    <n v="286"/>
    <n v="4509"/>
    <n v="0.13707250341997265"/>
    <n v="32895"/>
    <n v="32015"/>
    <n v="199"/>
    <s v="#MyntraTrend"/>
    <m/>
    <x v="3"/>
    <n v="37876"/>
    <n v="885"/>
    <n v="0.11904636181222938"/>
  </r>
  <r>
    <s v="P105"/>
    <s v="Instagram"/>
    <d v="2024-06-14T00:00:00"/>
    <s v="Carousel"/>
    <s v="Explore the latest carousel on Myntra! Trendy styles await."/>
    <n v="498"/>
    <n v="38"/>
    <n v="42"/>
    <n v="578"/>
    <n v="0.12896028558679162"/>
    <n v="4482"/>
    <n v="3647"/>
    <n v="32"/>
    <s v="#StyleWithMyntra"/>
    <s v="#FashionDeals"/>
    <x v="3"/>
    <n v="36103"/>
    <n v="1625"/>
    <n v="1.6009749882281252E-2"/>
  </r>
  <r>
    <s v="P106"/>
    <s v="Instagram"/>
    <d v="2025-02-04T00:00:00"/>
    <s v="Image"/>
    <s v="Explore the latest image on Myntra! Trendy styles await."/>
    <n v="4619"/>
    <n v="821"/>
    <n v="499"/>
    <n v="5939"/>
    <n v="8.5718409468138843E-2"/>
    <n v="69285"/>
    <n v="69141"/>
    <n v="298"/>
    <s v="#MyntraFashion"/>
    <m/>
    <x v="0"/>
    <n v="26103"/>
    <n v="1706"/>
    <n v="0.22752174079607707"/>
  </r>
  <r>
    <s v="P107"/>
    <s v="YouTube"/>
    <d v="2024-06-21T00:00:00"/>
    <s v="Image"/>
    <s v="Explore the latest image on Myntra! Trendy styles await."/>
    <n v="4832"/>
    <n v="893"/>
    <n v="10"/>
    <n v="5735"/>
    <n v="6.2467323109097243E-2"/>
    <n v="91808"/>
    <n v="91296"/>
    <n v="182"/>
    <s v="#MyntraSale"/>
    <s v="#StyleWithMyntra"/>
    <x v="2"/>
    <n v="3455"/>
    <n v="1173"/>
    <n v="1.6599131693198264"/>
  </r>
  <r>
    <s v="P108"/>
    <s v="Twitter"/>
    <d v="2025-03-25T00:00:00"/>
    <s v="Video"/>
    <s v="Explore the latest video on Myntra! Trendy styles await."/>
    <n v="4050"/>
    <n v="871"/>
    <n v="347"/>
    <n v="5268"/>
    <n v="0.10005698005698006"/>
    <n v="52650"/>
    <n v="51755"/>
    <n v="209"/>
    <s v="#StyleWithMyntra"/>
    <s v="#FashionDeals"/>
    <x v="0"/>
    <n v="40888"/>
    <n v="291"/>
    <n v="0.12883975738603012"/>
  </r>
  <r>
    <s v="P109"/>
    <s v="Twitter"/>
    <d v="2024-08-08T00:00:00"/>
    <s v="Story"/>
    <s v="Explore the latest story on Myntra! Trendy styles await."/>
    <n v="3649"/>
    <n v="215"/>
    <n v="413"/>
    <n v="4277"/>
    <n v="0.16744313510550835"/>
    <n v="25543"/>
    <n v="24963"/>
    <n v="167"/>
    <s v="#MyntraFashion"/>
    <s v="#StyleWithMyntra"/>
    <x v="0"/>
    <n v="22724"/>
    <n v="1119"/>
    <n v="0.18821510297482838"/>
  </r>
  <r>
    <s v="P110"/>
    <s v="Instagram"/>
    <d v="2024-07-29T00:00:00"/>
    <s v="Reel"/>
    <s v="Explore the latest reel on Myntra! Trendy styles await."/>
    <n v="3523"/>
    <n v="753"/>
    <n v="482"/>
    <n v="4758"/>
    <n v="0.12277759141227776"/>
    <n v="38753"/>
    <n v="38579"/>
    <n v="270"/>
    <s v="#FashionDeals"/>
    <s v="#StyleWithMyntra"/>
    <x v="1"/>
    <n v="18601"/>
    <n v="1373"/>
    <n v="0.25579269931724102"/>
  </r>
  <r>
    <s v="P111"/>
    <s v="YouTube"/>
    <d v="2024-11-23T00:00:00"/>
    <s v="Image"/>
    <s v="Explore the latest image on Myntra! Trendy styles await."/>
    <n v="2719"/>
    <n v="17"/>
    <n v="285"/>
    <n v="3021"/>
    <n v="7.4071349760941527E-2"/>
    <n v="40785"/>
    <n v="40281"/>
    <n v="40"/>
    <s v="#MyntraFashion"/>
    <s v="#StyleWithMyntra"/>
    <x v="2"/>
    <n v="20861"/>
    <n v="1727"/>
    <n v="0.14481568477062462"/>
  </r>
  <r>
    <s v="P112"/>
    <s v="Twitter"/>
    <d v="2024-10-05T00:00:00"/>
    <s v="Story"/>
    <s v="Explore the latest story on Myntra! Trendy styles await."/>
    <n v="1957"/>
    <n v="877"/>
    <n v="238"/>
    <n v="3072"/>
    <n v="0.17441662408448305"/>
    <n v="17613"/>
    <n v="16865"/>
    <n v="297"/>
    <s v="#MyntraFashion"/>
    <s v="#MyntraSale"/>
    <x v="2"/>
    <n v="46625"/>
    <n v="573"/>
    <n v="6.5887399463806964E-2"/>
  </r>
  <r>
    <s v="P113"/>
    <s v="Twitter"/>
    <d v="2024-10-02T00:00:00"/>
    <s v="Carousel"/>
    <s v="Explore the latest carousel on Myntra! Trendy styles await."/>
    <n v="4419"/>
    <n v="236"/>
    <n v="369"/>
    <n v="5024"/>
    <n v="0.11369088028965829"/>
    <n v="44190"/>
    <n v="43582"/>
    <n v="10"/>
    <s v="#MyntraTrend"/>
    <m/>
    <x v="3"/>
    <n v="20692"/>
    <n v="1432"/>
    <n v="0.2427991494297313"/>
  </r>
  <r>
    <s v="P114"/>
    <s v="Twitter"/>
    <d v="2024-11-14T00:00:00"/>
    <s v="Story"/>
    <s v="Explore the latest story on Myntra! Trendy styles await."/>
    <n v="4000"/>
    <n v="689"/>
    <n v="488"/>
    <n v="5177"/>
    <n v="0.12942500000000001"/>
    <n v="40000"/>
    <n v="39569"/>
    <n v="44"/>
    <s v="#FashionDeals"/>
    <s v="#MyntraFashion"/>
    <x v="2"/>
    <n v="18656"/>
    <n v="1377"/>
    <n v="0.27749785591766724"/>
  </r>
  <r>
    <s v="P115"/>
    <s v="Twitter"/>
    <d v="2025-05-11T00:00:00"/>
    <s v="Image"/>
    <s v="Explore the latest image on Myntra! Trendy styles await."/>
    <n v="2493"/>
    <n v="97"/>
    <n v="44"/>
    <n v="2634"/>
    <n v="6.2150491965739366E-2"/>
    <n v="42381"/>
    <n v="41991"/>
    <n v="242"/>
    <s v="#MyntraSale"/>
    <s v="#StyleWithMyntra"/>
    <x v="0"/>
    <n v="13316"/>
    <n v="1359"/>
    <n v="0.1978071492940823"/>
  </r>
  <r>
    <s v="P116"/>
    <s v="YouTube"/>
    <d v="2025-03-18T00:00:00"/>
    <s v="Reel"/>
    <s v="Explore the latest reel on Myntra! Trendy styles await."/>
    <n v="3704"/>
    <n v="186"/>
    <n v="458"/>
    <n v="4348"/>
    <n v="0.16769515581610614"/>
    <n v="25928"/>
    <n v="25081"/>
    <n v="131"/>
    <s v="#StyleWithMyntra"/>
    <m/>
    <x v="0"/>
    <n v="49558"/>
    <n v="876"/>
    <n v="8.7735582549739705E-2"/>
  </r>
  <r>
    <s v="P117"/>
    <s v="Twitter"/>
    <d v="2024-11-04T00:00:00"/>
    <s v="Image"/>
    <s v="Explore the latest image on Myntra! Trendy styles await."/>
    <n v="1606"/>
    <n v="451"/>
    <n v="405"/>
    <n v="2462"/>
    <n v="0.11792317271769326"/>
    <n v="20878"/>
    <n v="20190"/>
    <n v="219"/>
    <s v="#MyntraSale"/>
    <s v="#StyleWithMyntra"/>
    <x v="1"/>
    <n v="4683"/>
    <n v="684"/>
    <n v="0.52573136878069615"/>
  </r>
  <r>
    <s v="P118"/>
    <s v="Facebook"/>
    <d v="2024-11-04T00:00:00"/>
    <s v="Image"/>
    <s v="Explore the latest image on Myntra! Trendy styles await."/>
    <n v="4551"/>
    <n v="714"/>
    <n v="207"/>
    <n v="5472"/>
    <n v="8.0158206987475278E-2"/>
    <n v="68265"/>
    <n v="67754"/>
    <n v="57"/>
    <s v="#MyntraTrend"/>
    <m/>
    <x v="1"/>
    <n v="47502"/>
    <n v="730"/>
    <n v="0.1151951496779083"/>
  </r>
  <r>
    <s v="P119"/>
    <s v="Instagram"/>
    <d v="2025-02-07T00:00:00"/>
    <s v="Reel"/>
    <s v="Explore the latest reel on Myntra! Trendy styles await."/>
    <n v="1970"/>
    <n v="675"/>
    <n v="478"/>
    <n v="3123"/>
    <n v="0.31705583756345179"/>
    <n v="9850"/>
    <n v="8924"/>
    <n v="117"/>
    <s v="#MyntraTrend"/>
    <m/>
    <x v="3"/>
    <n v="35359"/>
    <n v="911"/>
    <n v="8.8322633558641367E-2"/>
  </r>
  <r>
    <s v="P120"/>
    <s v="Facebook"/>
    <d v="2024-10-21T00:00:00"/>
    <s v="Story"/>
    <s v="Explore the latest story on Myntra! Trendy styles await."/>
    <n v="780"/>
    <n v="928"/>
    <n v="301"/>
    <n v="2009"/>
    <n v="0.23414918414918415"/>
    <n v="8580"/>
    <n v="8081"/>
    <n v="91"/>
    <s v="#MyntraSale"/>
    <s v="#MyntraFashion"/>
    <x v="3"/>
    <n v="14154"/>
    <n v="1589"/>
    <n v="0.14193867457962414"/>
  </r>
  <r>
    <s v="P121"/>
    <s v="Instagram"/>
    <d v="2024-07-29T00:00:00"/>
    <s v="Story"/>
    <s v="Explore the latest story on Myntra! Trendy styles await."/>
    <n v="498"/>
    <n v="701"/>
    <n v="412"/>
    <n v="1611"/>
    <n v="0.32349397590361445"/>
    <n v="4980"/>
    <n v="4185"/>
    <n v="185"/>
    <s v="#FashionDeals"/>
    <s v="#StyleWithMyntra"/>
    <x v="3"/>
    <n v="4313"/>
    <n v="1765"/>
    <n v="0.37352191050313005"/>
  </r>
  <r>
    <s v="P122"/>
    <s v="Instagram"/>
    <d v="2024-10-02T00:00:00"/>
    <s v="Text"/>
    <s v="Explore the latest text on Myntra! Trendy styles await."/>
    <n v="3432"/>
    <n v="869"/>
    <n v="123"/>
    <n v="4424"/>
    <n v="8.0565268065268064E-2"/>
    <n v="54912"/>
    <n v="53916"/>
    <n v="264"/>
    <s v="#MyntraFashion"/>
    <s v="#MyntraTrend"/>
    <x v="1"/>
    <n v="25140"/>
    <n v="1776"/>
    <n v="0.17597454256165473"/>
  </r>
  <r>
    <s v="P123"/>
    <s v="Instagram"/>
    <d v="2024-06-14T00:00:00"/>
    <s v="Story"/>
    <s v="Explore the latest story on Myntra! Trendy styles await."/>
    <n v="4363"/>
    <n v="649"/>
    <n v="140"/>
    <n v="5152"/>
    <n v="0.23616777446710979"/>
    <n v="21815"/>
    <n v="21481"/>
    <n v="157"/>
    <s v="#MyntraSale"/>
    <s v="#MyntraFashion"/>
    <x v="1"/>
    <n v="9118"/>
    <n v="1529"/>
    <n v="0.56503619214740075"/>
  </r>
  <r>
    <s v="P124"/>
    <s v="YouTube"/>
    <d v="2025-04-06T00:00:00"/>
    <s v="Carousel"/>
    <s v="Explore the latest carousel on Myntra! Trendy styles await."/>
    <n v="736"/>
    <n v="771"/>
    <n v="225"/>
    <n v="1732"/>
    <n v="0.33618012422360249"/>
    <n v="5152"/>
    <n v="4706"/>
    <n v="19"/>
    <s v="#StyleWithMyntra"/>
    <m/>
    <x v="2"/>
    <n v="39931"/>
    <n v="1460"/>
    <n v="4.3374821567203424E-2"/>
  </r>
  <r>
    <s v="P125"/>
    <s v="Twitter"/>
    <d v="2024-09-08T00:00:00"/>
    <s v="Carousel"/>
    <s v="Explore the latest carousel on Myntra! Trendy styles await."/>
    <n v="3811"/>
    <n v="866"/>
    <n v="216"/>
    <n v="4893"/>
    <n v="0.14265722032712325"/>
    <n v="34299"/>
    <n v="34088"/>
    <n v="233"/>
    <s v="#StyleWithMyntra"/>
    <m/>
    <x v="2"/>
    <n v="37132"/>
    <n v="903"/>
    <n v="0.13177313368523108"/>
  </r>
  <r>
    <s v="P126"/>
    <s v="Instagram"/>
    <d v="2025-03-28T00:00:00"/>
    <s v="Carousel"/>
    <s v="Explore the latest carousel on Myntra! Trendy styles await."/>
    <n v="4158"/>
    <n v="167"/>
    <n v="241"/>
    <n v="4566"/>
    <n v="9.9829463465827106E-2"/>
    <n v="45738"/>
    <n v="45183"/>
    <n v="142"/>
    <s v="#MyntraFashion"/>
    <m/>
    <x v="1"/>
    <n v="17951"/>
    <n v="620"/>
    <n v="0.25435908863015988"/>
  </r>
  <r>
    <s v="P127"/>
    <s v="Facebook"/>
    <d v="2025-01-27T00:00:00"/>
    <s v="Reel"/>
    <s v="Explore the latest reel on Myntra! Trendy styles await."/>
    <n v="3452"/>
    <n v="652"/>
    <n v="442"/>
    <n v="4546"/>
    <n v="6.9311459413307311E-2"/>
    <n v="65588"/>
    <n v="65049"/>
    <n v="158"/>
    <s v="#MyntraSale"/>
    <s v="#StyleWithMyntra"/>
    <x v="0"/>
    <n v="2798"/>
    <n v="1188"/>
    <n v="1.6247319513938527"/>
  </r>
  <r>
    <s v="P128"/>
    <s v="Twitter"/>
    <d v="2025-01-10T00:00:00"/>
    <s v="Image"/>
    <s v="Explore the latest image on Myntra! Trendy styles await."/>
    <n v="3092"/>
    <n v="106"/>
    <n v="291"/>
    <n v="3489"/>
    <n v="0.12537731780940059"/>
    <n v="27828"/>
    <n v="27217"/>
    <n v="102"/>
    <s v="#StyleWithMyntra"/>
    <m/>
    <x v="3"/>
    <n v="15045"/>
    <n v="846"/>
    <n v="0.23190428713858424"/>
  </r>
  <r>
    <s v="P129"/>
    <s v="Twitter"/>
    <d v="2024-07-21T00:00:00"/>
    <s v="Text"/>
    <s v="Explore the latest text on Myntra! Trendy styles await."/>
    <n v="2147"/>
    <n v="430"/>
    <n v="393"/>
    <n v="2970"/>
    <n v="0.17291569632044715"/>
    <n v="17176"/>
    <n v="16483"/>
    <n v="170"/>
    <s v="#FashionDeals"/>
    <m/>
    <x v="3"/>
    <n v="14548"/>
    <n v="1722"/>
    <n v="0.20415177343964805"/>
  </r>
  <r>
    <s v="P130"/>
    <s v="YouTube"/>
    <d v="2024-09-29T00:00:00"/>
    <s v="Reel"/>
    <s v="Explore the latest reel on Myntra! Trendy styles await."/>
    <n v="2936"/>
    <n v="439"/>
    <n v="44"/>
    <n v="3419"/>
    <n v="8.9577656675749323E-2"/>
    <n v="38168"/>
    <n v="37571"/>
    <n v="22"/>
    <s v="#MyntraSale"/>
    <m/>
    <x v="2"/>
    <n v="45708"/>
    <n v="298"/>
    <n v="7.48009101251422E-2"/>
  </r>
  <r>
    <s v="P131"/>
    <s v="Instagram"/>
    <d v="2024-10-21T00:00:00"/>
    <s v="Reel"/>
    <s v="Explore the latest reel on Myntra! Trendy styles await."/>
    <n v="4840"/>
    <n v="658"/>
    <n v="211"/>
    <n v="5709"/>
    <n v="0.13106060606060607"/>
    <n v="43560"/>
    <n v="43225"/>
    <n v="57"/>
    <s v="#MyntraSale"/>
    <s v="#MyntraFashion"/>
    <x v="1"/>
    <n v="12350"/>
    <n v="-144"/>
    <n v="0.46226720647773278"/>
  </r>
  <r>
    <s v="P132"/>
    <s v="Instagram"/>
    <d v="2025-03-04T00:00:00"/>
    <s v="Story"/>
    <s v="Explore the latest story on Myntra! Trendy styles await."/>
    <n v="1947"/>
    <n v="842"/>
    <n v="101"/>
    <n v="2890"/>
    <n v="0.13493953401503478"/>
    <n v="21417"/>
    <n v="20967"/>
    <n v="186"/>
    <s v="#MyntraFashion"/>
    <m/>
    <x v="1"/>
    <n v="40868"/>
    <n v="901"/>
    <n v="7.0715474209650589E-2"/>
  </r>
  <r>
    <s v="P133"/>
    <s v="Facebook"/>
    <d v="2025-02-06T00:00:00"/>
    <s v="Image"/>
    <s v="Explore the latest image on Myntra! Trendy styles await."/>
    <n v="2072"/>
    <n v="532"/>
    <n v="71"/>
    <n v="2675"/>
    <n v="7.172350922350923E-2"/>
    <n v="37296"/>
    <n v="36467"/>
    <n v="25"/>
    <s v="#MyntraSale"/>
    <m/>
    <x v="2"/>
    <n v="43122"/>
    <n v="1572"/>
    <n v="6.2033300867306712E-2"/>
  </r>
  <r>
    <s v="P134"/>
    <s v="Twitter"/>
    <d v="2025-04-24T00:00:00"/>
    <s v="Reel"/>
    <s v="Explore the latest reel on Myntra! Trendy styles await."/>
    <n v="3731"/>
    <n v="115"/>
    <n v="135"/>
    <n v="3981"/>
    <n v="7.1133744304476013E-2"/>
    <n v="55965"/>
    <n v="55436"/>
    <n v="103"/>
    <s v="#FashionDeals"/>
    <m/>
    <x v="3"/>
    <n v="23853"/>
    <n v="427"/>
    <n v="0.16689724562948058"/>
  </r>
  <r>
    <s v="P135"/>
    <s v="Facebook"/>
    <d v="2024-11-28T00:00:00"/>
    <s v="Text"/>
    <s v="Explore the latest text on Myntra! Trendy styles await."/>
    <n v="4213"/>
    <n v="253"/>
    <n v="434"/>
    <n v="4900"/>
    <n v="6.461481657304112E-2"/>
    <n v="75834"/>
    <n v="75437"/>
    <n v="272"/>
    <s v="#MyntraTrend"/>
    <m/>
    <x v="2"/>
    <n v="45380"/>
    <n v="891"/>
    <n v="0.10797708241516087"/>
  </r>
  <r>
    <s v="P136"/>
    <s v="Instagram"/>
    <d v="2024-07-11T00:00:00"/>
    <s v="Text"/>
    <s v="Explore the latest text on Myntra! Trendy styles await."/>
    <n v="3134"/>
    <n v="888"/>
    <n v="444"/>
    <n v="4466"/>
    <n v="0.20357370772176134"/>
    <n v="21938"/>
    <n v="21337"/>
    <n v="130"/>
    <s v="#MyntraSale"/>
    <s v="#MyntraFashion"/>
    <x v="3"/>
    <n v="7705"/>
    <n v="724"/>
    <n v="0.57962362102530829"/>
  </r>
  <r>
    <s v="P137"/>
    <s v="Facebook"/>
    <d v="2024-07-31T00:00:00"/>
    <s v="Video"/>
    <s v="Explore the latest video on Myntra! Trendy styles await."/>
    <n v="3008"/>
    <n v="94"/>
    <n v="37"/>
    <n v="3139"/>
    <n v="0.20871010638297871"/>
    <n v="15040"/>
    <n v="14639"/>
    <n v="277"/>
    <s v="#FashionDeals"/>
    <m/>
    <x v="0"/>
    <n v="25525"/>
    <n v="-166"/>
    <n v="0.12297747306562194"/>
  </r>
  <r>
    <s v="P138"/>
    <s v="Twitter"/>
    <d v="2025-03-29T00:00:00"/>
    <s v="Image"/>
    <s v="Explore the latest image on Myntra! Trendy styles await."/>
    <n v="305"/>
    <n v="187"/>
    <n v="243"/>
    <n v="735"/>
    <n v="0.16065573770491803"/>
    <n v="4575"/>
    <n v="3704"/>
    <n v="234"/>
    <s v="#MyntraFashion"/>
    <s v="#MyntraTrend"/>
    <x v="3"/>
    <n v="20560"/>
    <n v="898"/>
    <n v="3.5749027237354083E-2"/>
  </r>
  <r>
    <s v="P139"/>
    <s v="YouTube"/>
    <d v="2024-10-29T00:00:00"/>
    <s v="Text"/>
    <s v="Explore the latest text on Myntra! Trendy styles await."/>
    <n v="2746"/>
    <n v="156"/>
    <n v="203"/>
    <n v="3105"/>
    <n v="9.422796795338674E-2"/>
    <n v="32952"/>
    <n v="32147"/>
    <n v="147"/>
    <s v="#MyntraFashion"/>
    <s v="#StyleWithMyntra"/>
    <x v="1"/>
    <n v="19119"/>
    <n v="1426"/>
    <n v="0.16240389141691511"/>
  </r>
  <r>
    <s v="P140"/>
    <s v="Facebook"/>
    <d v="2024-07-15T00:00:00"/>
    <s v="Image"/>
    <s v="Explore the latest image on Myntra! Trendy styles await."/>
    <n v="2291"/>
    <n v="78"/>
    <n v="485"/>
    <n v="2854"/>
    <n v="0.15571802706241816"/>
    <n v="18328"/>
    <n v="18101"/>
    <n v="10"/>
    <s v="#FashionDeals"/>
    <m/>
    <x v="0"/>
    <n v="43999"/>
    <n v="1225"/>
    <n v="6.4865110570694787E-2"/>
  </r>
  <r>
    <s v="P141"/>
    <s v="Twitter"/>
    <d v="2024-08-31T00:00:00"/>
    <s v="Image"/>
    <s v="Explore the latest image on Myntra! Trendy styles await."/>
    <n v="3170"/>
    <n v="857"/>
    <n v="379"/>
    <n v="4406"/>
    <n v="0.2316508937960042"/>
    <n v="19020"/>
    <n v="18559"/>
    <n v="240"/>
    <s v="#MyntraSale"/>
    <m/>
    <x v="2"/>
    <n v="10825"/>
    <n v="1080"/>
    <n v="0.40702078521939955"/>
  </r>
  <r>
    <s v="P142"/>
    <s v="YouTube"/>
    <d v="2025-03-25T00:00:00"/>
    <s v="Story"/>
    <s v="Explore the latest story on Myntra! Trendy styles await."/>
    <n v="2070"/>
    <n v="275"/>
    <n v="386"/>
    <n v="2731"/>
    <n v="6.9438087973557078E-2"/>
    <n v="39330"/>
    <n v="38627"/>
    <n v="114"/>
    <s v="#MyntraSale"/>
    <m/>
    <x v="3"/>
    <n v="40323"/>
    <n v="748"/>
    <n v="6.7728095627805476E-2"/>
  </r>
  <r>
    <s v="P143"/>
    <s v="YouTube"/>
    <d v="2024-10-02T00:00:00"/>
    <s v="Carousel"/>
    <s v="Explore the latest carousel on Myntra! Trendy styles await."/>
    <n v="80"/>
    <n v="362"/>
    <n v="80"/>
    <n v="522"/>
    <n v="0.50192307692307692"/>
    <n v="1040"/>
    <n v="349"/>
    <n v="117"/>
    <s v="#MyntraFashion"/>
    <s v="#StyleWithMyntra"/>
    <x v="1"/>
    <n v="48270"/>
    <n v="569"/>
    <n v="1.0814170292106899E-2"/>
  </r>
  <r>
    <s v="P144"/>
    <s v="YouTube"/>
    <d v="2024-10-28T00:00:00"/>
    <s v="Story"/>
    <s v="Explore the latest story on Myntra! Trendy styles await."/>
    <n v="4929"/>
    <n v="749"/>
    <n v="452"/>
    <n v="6130"/>
    <n v="6.5455787978772245E-2"/>
    <n v="93651"/>
    <n v="92810"/>
    <n v="66"/>
    <s v="#MyntraTrend"/>
    <s v="#StyleWithMyntra"/>
    <x v="0"/>
    <n v="18001"/>
    <n v="-203"/>
    <n v="0.34053663685350816"/>
  </r>
  <r>
    <s v="P145"/>
    <s v="Instagram"/>
    <d v="2024-08-12T00:00:00"/>
    <s v="Carousel"/>
    <s v="Explore the latest carousel on Myntra! Trendy styles await."/>
    <n v="1878"/>
    <n v="62"/>
    <n v="179"/>
    <n v="2119"/>
    <n v="5.6416400425985093E-2"/>
    <n v="37560"/>
    <n v="36874"/>
    <n v="142"/>
    <s v="#FashionDeals"/>
    <s v="#MyntraTrend"/>
    <x v="0"/>
    <n v="3314"/>
    <n v="1723"/>
    <n v="0.63940856970428483"/>
  </r>
  <r>
    <s v="P146"/>
    <s v="YouTube"/>
    <d v="2024-06-05T00:00:00"/>
    <s v="Reel"/>
    <s v="Explore the latest reel on Myntra! Trendy styles await."/>
    <n v="3065"/>
    <n v="772"/>
    <n v="142"/>
    <n v="3979"/>
    <n v="0.21636759108210984"/>
    <n v="18390"/>
    <n v="17875"/>
    <n v="200"/>
    <s v="#StyleWithMyntra"/>
    <m/>
    <x v="0"/>
    <n v="23489"/>
    <n v="912"/>
    <n v="0.16939844182383243"/>
  </r>
  <r>
    <s v="P147"/>
    <s v="Instagram"/>
    <d v="2024-10-21T00:00:00"/>
    <s v="Reel"/>
    <s v="Explore the latest reel on Myntra! Trendy styles await."/>
    <n v="3256"/>
    <n v="459"/>
    <n v="266"/>
    <n v="3981"/>
    <n v="0.15283323095823095"/>
    <n v="26048"/>
    <n v="25529"/>
    <n v="143"/>
    <s v="#MyntraSale"/>
    <s v="#StyleWithMyntra"/>
    <x v="2"/>
    <n v="42832"/>
    <n v="1202"/>
    <n v="9.2944527456107581E-2"/>
  </r>
  <r>
    <s v="P148"/>
    <s v="Instagram"/>
    <d v="2025-04-15T00:00:00"/>
    <s v="Video"/>
    <s v="Explore the latest video on Myntra! Trendy styles await."/>
    <n v="4133"/>
    <n v="466"/>
    <n v="327"/>
    <n v="4926"/>
    <n v="0.19864505202032423"/>
    <n v="24798"/>
    <n v="24620"/>
    <n v="176"/>
    <s v="#StyleWithMyntra"/>
    <m/>
    <x v="1"/>
    <n v="24494"/>
    <n v="1444"/>
    <n v="0.20111047603494733"/>
  </r>
  <r>
    <s v="P149"/>
    <s v="Twitter"/>
    <d v="2024-06-16T00:00:00"/>
    <s v="Video"/>
    <s v="Explore the latest video on Myntra! Trendy styles await."/>
    <n v="1702"/>
    <n v="750"/>
    <n v="179"/>
    <n v="2631"/>
    <n v="7.7291421856639245E-2"/>
    <n v="34040"/>
    <n v="33174"/>
    <n v="76"/>
    <s v="#MyntraTrend"/>
    <m/>
    <x v="2"/>
    <n v="44097"/>
    <n v="965"/>
    <n v="5.9663922715831007E-2"/>
  </r>
  <r>
    <s v="P150"/>
    <s v="YouTube"/>
    <d v="2024-08-22T00:00:00"/>
    <s v="Carousel"/>
    <s v="Explore the latest carousel on Myntra! Trendy styles await."/>
    <n v="4295"/>
    <n v="853"/>
    <n v="325"/>
    <n v="5473"/>
    <n v="6.3713620488940623E-2"/>
    <n v="85900"/>
    <n v="85788"/>
    <n v="290"/>
    <s v="#MyntraTrend"/>
    <s v="#MyntraSale"/>
    <x v="1"/>
    <n v="31853"/>
    <n v="1590"/>
    <n v="0.17182055065456942"/>
  </r>
  <r>
    <s v="P151"/>
    <s v="Instagram"/>
    <d v="2024-07-26T00:00:00"/>
    <s v="Image"/>
    <s v="Explore the latest image on Myntra! Trendy styles await."/>
    <n v="3559"/>
    <n v="59"/>
    <n v="289"/>
    <n v="3907"/>
    <n v="0.10977802753582468"/>
    <n v="35590"/>
    <n v="35105"/>
    <n v="122"/>
    <s v="#MyntraTrend"/>
    <s v="#StyleWithMyntra"/>
    <x v="2"/>
    <n v="37636"/>
    <n v="-37"/>
    <n v="0.10381018174088638"/>
  </r>
  <r>
    <s v="P152"/>
    <s v="Facebook"/>
    <d v="2025-04-22T00:00:00"/>
    <s v="Image"/>
    <s v="Explore the latest image on Myntra! Trendy styles await."/>
    <n v="4804"/>
    <n v="550"/>
    <n v="270"/>
    <n v="5624"/>
    <n v="0.19511518179295032"/>
    <n v="28824"/>
    <n v="28370"/>
    <n v="47"/>
    <s v="#MyntraSale"/>
    <s v="#StyleWithMyntra"/>
    <x v="3"/>
    <n v="22996"/>
    <n v="1175"/>
    <n v="0.24456427204731257"/>
  </r>
  <r>
    <s v="P153"/>
    <s v="Twitter"/>
    <d v="2025-01-01T00:00:00"/>
    <s v="Video"/>
    <s v="Explore the latest video on Myntra! Trendy styles await."/>
    <n v="754"/>
    <n v="197"/>
    <n v="257"/>
    <n v="1208"/>
    <n v="0.17801355732390214"/>
    <n v="6786"/>
    <n v="6221"/>
    <n v="212"/>
    <s v="#FashionDeals"/>
    <s v="#MyntraTrend"/>
    <x v="2"/>
    <n v="49772"/>
    <n v="1375"/>
    <n v="2.4270674274692598E-2"/>
  </r>
  <r>
    <s v="P154"/>
    <s v="Instagram"/>
    <d v="2024-10-09T00:00:00"/>
    <s v="Carousel"/>
    <s v="Explore the latest carousel on Myntra! Trendy styles await."/>
    <n v="985"/>
    <n v="932"/>
    <n v="287"/>
    <n v="2204"/>
    <n v="0.31965192168237855"/>
    <n v="6895"/>
    <n v="6757"/>
    <n v="64"/>
    <s v="#MyntraSale"/>
    <s v="#MyntraFashion"/>
    <x v="1"/>
    <n v="22713"/>
    <n v="1707"/>
    <n v="9.7036939197816224E-2"/>
  </r>
  <r>
    <s v="P155"/>
    <s v="YouTube"/>
    <d v="2024-12-21T00:00:00"/>
    <s v="Image"/>
    <s v="Explore the latest image on Myntra! Trendy styles await."/>
    <n v="2283"/>
    <n v="210"/>
    <n v="130"/>
    <n v="2623"/>
    <n v="0.11489268506351293"/>
    <n v="22830"/>
    <n v="22617"/>
    <n v="143"/>
    <s v="#MyntraFashion"/>
    <s v="#StyleWithMyntra"/>
    <x v="2"/>
    <n v="8718"/>
    <n v="708"/>
    <n v="0.30087175957788481"/>
  </r>
  <r>
    <s v="P156"/>
    <s v="Facebook"/>
    <d v="2024-10-22T00:00:00"/>
    <s v="Carousel"/>
    <s v="Explore the latest carousel on Myntra! Trendy styles await."/>
    <n v="3352"/>
    <n v="941"/>
    <n v="482"/>
    <n v="4775"/>
    <n v="0.1095786671562328"/>
    <n v="43576"/>
    <n v="43338"/>
    <n v="240"/>
    <s v="#MyntraTrend"/>
    <m/>
    <x v="2"/>
    <n v="39031"/>
    <n v="1016"/>
    <n v="0.12233865389049729"/>
  </r>
  <r>
    <s v="P157"/>
    <s v="YouTube"/>
    <d v="2024-07-23T00:00:00"/>
    <s v="Story"/>
    <s v="Explore the latest story on Myntra! Trendy styles await."/>
    <n v="4775"/>
    <n v="173"/>
    <n v="206"/>
    <n v="5154"/>
    <n v="0.10793717277486911"/>
    <n v="47750"/>
    <n v="47544"/>
    <n v="187"/>
    <s v="#StyleWithMyntra"/>
    <s v="#MyntraTrend"/>
    <x v="3"/>
    <n v="33799"/>
    <n v="1315"/>
    <n v="0.15248971863072872"/>
  </r>
  <r>
    <s v="P158"/>
    <s v="Instagram"/>
    <d v="2024-08-11T00:00:00"/>
    <s v="Story"/>
    <s v="Explore the latest story on Myntra! Trendy styles await."/>
    <n v="1762"/>
    <n v="405"/>
    <n v="423"/>
    <n v="2590"/>
    <n v="0.11307081114118571"/>
    <n v="22906"/>
    <n v="21925"/>
    <n v="25"/>
    <s v="#FashionDeals"/>
    <m/>
    <x v="1"/>
    <n v="20553"/>
    <n v="-119"/>
    <n v="0.12601566681263077"/>
  </r>
  <r>
    <s v="P159"/>
    <s v="Facebook"/>
    <d v="2024-11-25T00:00:00"/>
    <s v="Story"/>
    <s v="Explore the latest story on Myntra! Trendy styles await."/>
    <n v="2120"/>
    <n v="158"/>
    <n v="488"/>
    <n v="2766"/>
    <n v="0.21745283018867925"/>
    <n v="12720"/>
    <n v="12085"/>
    <n v="17"/>
    <s v="#StyleWithMyntra"/>
    <s v="#MyntraTrend"/>
    <x v="1"/>
    <n v="10002"/>
    <n v="899"/>
    <n v="0.27654469106178764"/>
  </r>
  <r>
    <s v="P160"/>
    <s v="Twitter"/>
    <d v="2024-08-24T00:00:00"/>
    <s v="Video"/>
    <s v="Explore the latest video on Myntra! Trendy styles await."/>
    <n v="1082"/>
    <n v="209"/>
    <n v="484"/>
    <n v="1775"/>
    <n v="9.1137810638734856E-2"/>
    <n v="19476"/>
    <n v="18654"/>
    <n v="20"/>
    <s v="#StyleWithMyntra"/>
    <m/>
    <x v="3"/>
    <n v="30987"/>
    <n v="315"/>
    <n v="5.7282086036079649E-2"/>
  </r>
  <r>
    <s v="P161"/>
    <s v="Twitter"/>
    <d v="2025-02-19T00:00:00"/>
    <s v="Text"/>
    <s v="Explore the latest text on Myntra! Trendy styles await."/>
    <n v="4671"/>
    <n v="876"/>
    <n v="366"/>
    <n v="5913"/>
    <n v="0.11508145034156594"/>
    <n v="51381"/>
    <n v="50565"/>
    <n v="245"/>
    <s v="#MyntraSale"/>
    <m/>
    <x v="1"/>
    <n v="6296"/>
    <n v="212"/>
    <n v="0.93916772554002537"/>
  </r>
  <r>
    <s v="P162"/>
    <s v="Facebook"/>
    <d v="2025-04-01T00:00:00"/>
    <s v="Story"/>
    <s v="Explore the latest story on Myntra! Trendy styles await."/>
    <n v="3430"/>
    <n v="566"/>
    <n v="164"/>
    <n v="4160"/>
    <n v="8.6630570595585168E-2"/>
    <n v="48020"/>
    <n v="47305"/>
    <n v="120"/>
    <s v="#MyntraTrend"/>
    <m/>
    <x v="1"/>
    <n v="21539"/>
    <n v="908"/>
    <n v="0.19313802869213983"/>
  </r>
  <r>
    <s v="P163"/>
    <s v="Instagram"/>
    <d v="2025-04-08T00:00:00"/>
    <s v="Image"/>
    <s v="Explore the latest image on Myntra! Trendy styles await."/>
    <n v="4501"/>
    <n v="375"/>
    <n v="323"/>
    <n v="5199"/>
    <n v="0.23101532992668297"/>
    <n v="22505"/>
    <n v="21836"/>
    <n v="132"/>
    <s v="#MyntraFashion"/>
    <m/>
    <x v="3"/>
    <n v="14722"/>
    <n v="1350"/>
    <n v="0.35314495313136801"/>
  </r>
  <r>
    <s v="P164"/>
    <s v="YouTube"/>
    <d v="2025-02-27T00:00:00"/>
    <s v="Text"/>
    <s v="Explore the latest text on Myntra! Trendy styles await."/>
    <n v="4934"/>
    <n v="971"/>
    <n v="156"/>
    <n v="6061"/>
    <n v="0.15355188488042157"/>
    <n v="39472"/>
    <n v="39025"/>
    <n v="169"/>
    <s v="#FashionDeals"/>
    <s v="#StyleWithMyntra"/>
    <x v="1"/>
    <n v="11383"/>
    <n v="1242"/>
    <n v="0.5324606869893701"/>
  </r>
  <r>
    <s v="P165"/>
    <s v="Twitter"/>
    <d v="2024-12-11T00:00:00"/>
    <s v="Text"/>
    <s v="Explore the latest text on Myntra! Trendy styles await."/>
    <n v="3239"/>
    <n v="43"/>
    <n v="211"/>
    <n v="3493"/>
    <n v="0.15405989502933004"/>
    <n v="22673"/>
    <n v="22171"/>
    <n v="230"/>
    <s v="#MyntraTrend"/>
    <s v="#StyleWithMyntra"/>
    <x v="1"/>
    <n v="9480"/>
    <n v="680"/>
    <n v="0.36845991561181435"/>
  </r>
  <r>
    <s v="P166"/>
    <s v="Twitter"/>
    <d v="2025-02-16T00:00:00"/>
    <s v="Reel"/>
    <s v="Explore the latest reel on Myntra! Trendy styles await."/>
    <n v="1076"/>
    <n v="313"/>
    <n v="306"/>
    <n v="1695"/>
    <n v="0.14320716458262928"/>
    <n v="11836"/>
    <n v="11596"/>
    <n v="104"/>
    <s v="#FashionDeals"/>
    <m/>
    <x v="1"/>
    <n v="29116"/>
    <n v="1116"/>
    <n v="5.8215414205247971E-2"/>
  </r>
  <r>
    <s v="P167"/>
    <s v="Instagram"/>
    <d v="2024-11-28T00:00:00"/>
    <s v="Text"/>
    <s v="Explore the latest text on Myntra! Trendy styles await."/>
    <n v="4771"/>
    <n v="818"/>
    <n v="56"/>
    <n v="5645"/>
    <n v="9.859917557465242E-2"/>
    <n v="57252"/>
    <n v="56378"/>
    <n v="150"/>
    <s v="#MyntraSale"/>
    <m/>
    <x v="1"/>
    <n v="14068"/>
    <n v="861"/>
    <n v="0.40126528291157237"/>
  </r>
  <r>
    <s v="P168"/>
    <s v="Facebook"/>
    <d v="2024-11-12T00:00:00"/>
    <s v="Text"/>
    <s v="Explore the latest text on Myntra! Trendy styles await."/>
    <n v="2418"/>
    <n v="754"/>
    <n v="54"/>
    <n v="3226"/>
    <n v="7.412002573292896E-2"/>
    <n v="43524"/>
    <n v="42743"/>
    <n v="182"/>
    <s v="#MyntraFashion"/>
    <s v="#MyntraTrend"/>
    <x v="3"/>
    <n v="35801"/>
    <n v="1385"/>
    <n v="9.0109214826401496E-2"/>
  </r>
  <r>
    <s v="P169"/>
    <s v="YouTube"/>
    <d v="2024-12-03T00:00:00"/>
    <s v="Video"/>
    <s v="Explore the latest video on Myntra! Trendy styles await."/>
    <n v="3809"/>
    <n v="273"/>
    <n v="200"/>
    <n v="4282"/>
    <n v="0.12490884163239112"/>
    <n v="34281"/>
    <n v="33534"/>
    <n v="83"/>
    <s v="#MyntraTrend"/>
    <m/>
    <x v="2"/>
    <n v="49077"/>
    <n v="461"/>
    <n v="8.7250646942559656E-2"/>
  </r>
  <r>
    <s v="P170"/>
    <s v="Twitter"/>
    <d v="2025-04-28T00:00:00"/>
    <s v="Text"/>
    <s v="Explore the latest text on Myntra! Trendy styles await."/>
    <n v="3577"/>
    <n v="596"/>
    <n v="493"/>
    <n v="4666"/>
    <n v="6.8655003457763777E-2"/>
    <n v="67963"/>
    <n v="67839"/>
    <n v="53"/>
    <s v="#StyleWithMyntra"/>
    <s v="#MyntraTrend"/>
    <x v="3"/>
    <n v="21453"/>
    <n v="474"/>
    <n v="0.21749871812800076"/>
  </r>
  <r>
    <s v="P171"/>
    <s v="YouTube"/>
    <d v="2024-12-31T00:00:00"/>
    <s v="Video"/>
    <s v="Explore the latest video on Myntra! Trendy styles await."/>
    <n v="1018"/>
    <n v="447"/>
    <n v="332"/>
    <n v="1797"/>
    <n v="9.8068107400130972E-2"/>
    <n v="18324"/>
    <n v="18164"/>
    <n v="38"/>
    <s v="#MyntraSale"/>
    <s v="#MyntraFashion"/>
    <x v="3"/>
    <n v="21061"/>
    <n v="292"/>
    <n v="8.5323583875409531E-2"/>
  </r>
  <r>
    <s v="P172"/>
    <s v="Facebook"/>
    <d v="2024-08-14T00:00:00"/>
    <s v="Carousel"/>
    <s v="Explore the latest carousel on Myntra! Trendy styles await."/>
    <n v="3073"/>
    <n v="553"/>
    <n v="174"/>
    <n v="3800"/>
    <n v="7.2739802071170159E-2"/>
    <n v="52241"/>
    <n v="51605"/>
    <n v="246"/>
    <s v="#MyntraFashion"/>
    <s v="#StyleWithMyntra"/>
    <x v="3"/>
    <n v="20059"/>
    <n v="389"/>
    <n v="0.18944114861159581"/>
  </r>
  <r>
    <s v="P173"/>
    <s v="Twitter"/>
    <d v="2024-12-05T00:00:00"/>
    <s v="Video"/>
    <s v="Explore the latest video on Myntra! Trendy styles await."/>
    <n v="1330"/>
    <n v="925"/>
    <n v="35"/>
    <n v="2290"/>
    <n v="0.14348370927318296"/>
    <n v="15960"/>
    <n v="15379"/>
    <n v="229"/>
    <s v="#FashionDeals"/>
    <s v="#MyntraTrend"/>
    <x v="3"/>
    <n v="23140"/>
    <n v="641"/>
    <n v="9.8962834917891096E-2"/>
  </r>
  <r>
    <s v="P174"/>
    <s v="Facebook"/>
    <d v="2024-06-22T00:00:00"/>
    <s v="Text"/>
    <s v="Explore the latest text on Myntra! Trendy styles await."/>
    <n v="3828"/>
    <n v="148"/>
    <n v="253"/>
    <n v="4229"/>
    <n v="0.13809430512016718"/>
    <n v="30624"/>
    <n v="30229"/>
    <n v="235"/>
    <s v="#MyntraSale"/>
    <s v="#StyleWithMyntra"/>
    <x v="3"/>
    <n v="23461"/>
    <n v="514"/>
    <n v="0.18025659605302416"/>
  </r>
  <r>
    <s v="P175"/>
    <s v="Instagram"/>
    <d v="2025-01-17T00:00:00"/>
    <s v="Reel"/>
    <s v="Explore the latest reel on Myntra! Trendy styles await."/>
    <n v="142"/>
    <n v="784"/>
    <n v="183"/>
    <n v="1109"/>
    <n v="0.6508215962441315"/>
    <n v="1704"/>
    <n v="995"/>
    <n v="154"/>
    <s v="#MyntraSale"/>
    <m/>
    <x v="0"/>
    <n v="11805"/>
    <n v="1676"/>
    <n v="9.3943244387971192E-2"/>
  </r>
  <r>
    <s v="P176"/>
    <s v="Facebook"/>
    <d v="2024-06-20T00:00:00"/>
    <s v="Video"/>
    <s v="Explore the latest video on Myntra! Trendy styles await."/>
    <n v="3798"/>
    <n v="31"/>
    <n v="279"/>
    <n v="4108"/>
    <n v="5.4081095313322801E-2"/>
    <n v="75960"/>
    <n v="75813"/>
    <n v="266"/>
    <s v="#MyntraFashion"/>
    <m/>
    <x v="1"/>
    <n v="15969"/>
    <n v="1467"/>
    <n v="0.25724841881144717"/>
  </r>
  <r>
    <s v="P177"/>
    <s v="Instagram"/>
    <d v="2024-07-10T00:00:00"/>
    <s v="Carousel"/>
    <s v="Explore the latest carousel on Myntra! Trendy styles await."/>
    <n v="3099"/>
    <n v="694"/>
    <n v="171"/>
    <n v="3964"/>
    <n v="9.1365878393951966E-2"/>
    <n v="43386"/>
    <n v="42921"/>
    <n v="52"/>
    <s v="#FashionDeals"/>
    <m/>
    <x v="3"/>
    <n v="2436"/>
    <n v="167"/>
    <n v="1.6272577996715927"/>
  </r>
  <r>
    <s v="P178"/>
    <s v="Instagram"/>
    <d v="2024-11-07T00:00:00"/>
    <s v="Video"/>
    <s v="Explore the latest video on Myntra! Trendy styles await."/>
    <n v="129"/>
    <n v="643"/>
    <n v="136"/>
    <n v="908"/>
    <n v="0.70387596899224802"/>
    <n v="1290"/>
    <n v="839"/>
    <n v="238"/>
    <s v="#StyleWithMyntra"/>
    <s v="#FashionDeals"/>
    <x v="3"/>
    <n v="47603"/>
    <n v="1029"/>
    <n v="1.9074428082263725E-2"/>
  </r>
  <r>
    <s v="P179"/>
    <s v="Facebook"/>
    <d v="2024-07-15T00:00:00"/>
    <s v="Carousel"/>
    <s v="Explore the latest carousel on Myntra! Trendy styles await."/>
    <n v="3796"/>
    <n v="667"/>
    <n v="395"/>
    <n v="4858"/>
    <n v="7.5280481001673588E-2"/>
    <n v="64532"/>
    <n v="63550"/>
    <n v="292"/>
    <s v="#StyleWithMyntra"/>
    <m/>
    <x v="0"/>
    <n v="42964"/>
    <n v="1007"/>
    <n v="0.11307140862117121"/>
  </r>
  <r>
    <s v="P180"/>
    <s v="YouTube"/>
    <d v="2024-12-03T00:00:00"/>
    <s v="Text"/>
    <s v="Explore the latest text on Myntra! Trendy styles await."/>
    <n v="3711"/>
    <n v="352"/>
    <n v="290"/>
    <n v="4353"/>
    <n v="9.023070704558174E-2"/>
    <n v="48243"/>
    <n v="47579"/>
    <n v="11"/>
    <s v="#StyleWithMyntra"/>
    <s v="#FashionDeals"/>
    <x v="3"/>
    <n v="39923"/>
    <n v="209"/>
    <n v="0.10903489216742229"/>
  </r>
  <r>
    <s v="P181"/>
    <s v="YouTube"/>
    <d v="2025-03-21T00:00:00"/>
    <s v="Image"/>
    <s v="Explore the latest image on Myntra! Trendy styles await."/>
    <n v="606"/>
    <n v="789"/>
    <n v="470"/>
    <n v="1865"/>
    <n v="0.23673521198273673"/>
    <n v="7878"/>
    <n v="7389"/>
    <n v="239"/>
    <s v="#MyntraSale"/>
    <m/>
    <x v="1"/>
    <n v="2293"/>
    <n v="-160"/>
    <n v="0.8133449629306585"/>
  </r>
  <r>
    <s v="P182"/>
    <s v="Facebook"/>
    <d v="2024-07-31T00:00:00"/>
    <s v="Image"/>
    <s v="Explore the latest image on Myntra! Trendy styles await."/>
    <n v="4689"/>
    <n v="134"/>
    <n v="403"/>
    <n v="5226"/>
    <n v="0.10132030477519921"/>
    <n v="51579"/>
    <n v="50924"/>
    <n v="173"/>
    <s v="#FashionDeals"/>
    <m/>
    <x v="0"/>
    <n v="25920"/>
    <n v="-175"/>
    <n v="0.20162037037037037"/>
  </r>
  <r>
    <s v="P183"/>
    <s v="Instagram"/>
    <d v="2024-12-17T00:00:00"/>
    <s v="Story"/>
    <s v="Explore the latest story on Myntra! Trendy styles await."/>
    <n v="360"/>
    <n v="590"/>
    <n v="393"/>
    <n v="1343"/>
    <n v="0.28696581196581195"/>
    <n v="4680"/>
    <n v="4322"/>
    <n v="208"/>
    <s v="#StyleWithMyntra"/>
    <s v="#FashionDeals"/>
    <x v="1"/>
    <n v="11035"/>
    <n v="53"/>
    <n v="0.12170367014046217"/>
  </r>
  <r>
    <s v="P184"/>
    <s v="Twitter"/>
    <d v="2024-07-28T00:00:00"/>
    <s v="Image"/>
    <s v="Explore the latest image on Myntra! Trendy styles await."/>
    <n v="3215"/>
    <n v="960"/>
    <n v="202"/>
    <n v="4377"/>
    <n v="0.13614307931570763"/>
    <n v="32150"/>
    <n v="31404"/>
    <n v="251"/>
    <s v="#StyleWithMyntra"/>
    <m/>
    <x v="2"/>
    <n v="20733"/>
    <n v="145"/>
    <n v="0.21111271885400087"/>
  </r>
  <r>
    <s v="P185"/>
    <s v="Instagram"/>
    <d v="2025-01-11T00:00:00"/>
    <s v="Carousel"/>
    <s v="Explore the latest carousel on Myntra! Trendy styles await."/>
    <n v="4523"/>
    <n v="61"/>
    <n v="157"/>
    <n v="4741"/>
    <n v="9.5290736237010829E-2"/>
    <n v="49753"/>
    <n v="49329"/>
    <n v="71"/>
    <s v="#MyntraSale"/>
    <s v="#MyntraTrend"/>
    <x v="3"/>
    <n v="18693"/>
    <n v="603"/>
    <n v="0.25362435136147221"/>
  </r>
  <r>
    <s v="P186"/>
    <s v="Facebook"/>
    <d v="2024-08-24T00:00:00"/>
    <s v="Carousel"/>
    <s v="Explore the latest carousel on Myntra! Trendy styles await."/>
    <n v="4292"/>
    <n v="51"/>
    <n v="392"/>
    <n v="4735"/>
    <n v="8.4862714173059003E-2"/>
    <n v="55796"/>
    <n v="54826"/>
    <n v="264"/>
    <s v="#MyntraTrend"/>
    <s v="#StyleWithMyntra"/>
    <x v="0"/>
    <n v="7875"/>
    <n v="1045"/>
    <n v="0.60126984126984129"/>
  </r>
  <r>
    <s v="P187"/>
    <s v="Twitter"/>
    <d v="2024-12-22T00:00:00"/>
    <s v="Reel"/>
    <s v="Explore the latest reel on Myntra! Trendy styles await."/>
    <n v="1644"/>
    <n v="546"/>
    <n v="150"/>
    <n v="2340"/>
    <n v="8.3726921425504502E-2"/>
    <n v="27948"/>
    <n v="27184"/>
    <n v="300"/>
    <s v="#MyntraSale"/>
    <s v="#MyntraTrend"/>
    <x v="0"/>
    <n v="8471"/>
    <n v="759"/>
    <n v="0.27623657183331368"/>
  </r>
  <r>
    <s v="P188"/>
    <s v="YouTube"/>
    <d v="2024-06-06T00:00:00"/>
    <s v="Reel"/>
    <s v="Explore the latest reel on Myntra! Trendy styles await."/>
    <n v="2728"/>
    <n v="533"/>
    <n v="215"/>
    <n v="3476"/>
    <n v="8.4946236559139784E-2"/>
    <n v="40920"/>
    <n v="40816"/>
    <n v="137"/>
    <s v="#MyntraSale"/>
    <m/>
    <x v="1"/>
    <n v="14090"/>
    <n v="1633"/>
    <n v="0.24669978708303761"/>
  </r>
  <r>
    <s v="P189"/>
    <s v="Facebook"/>
    <d v="2025-03-24T00:00:00"/>
    <s v="Reel"/>
    <s v="Explore the latest reel on Myntra! Trendy styles await."/>
    <n v="3360"/>
    <n v="525"/>
    <n v="500"/>
    <n v="4385"/>
    <n v="7.2503306878306875E-2"/>
    <n v="60480"/>
    <n v="59610"/>
    <n v="192"/>
    <s v="#MyntraSale"/>
    <s v="#StyleWithMyntra"/>
    <x v="0"/>
    <n v="14216"/>
    <n v="1539"/>
    <n v="0.30845526167698367"/>
  </r>
  <r>
    <s v="P190"/>
    <s v="YouTube"/>
    <d v="2024-10-04T00:00:00"/>
    <s v="Text"/>
    <s v="Explore the latest text on Myntra! Trendy styles await."/>
    <n v="1963"/>
    <n v="213"/>
    <n v="19"/>
    <n v="2195"/>
    <n v="5.5909322465613857E-2"/>
    <n v="39260"/>
    <n v="38771"/>
    <n v="145"/>
    <s v="#StyleWithMyntra"/>
    <m/>
    <x v="0"/>
    <n v="3582"/>
    <n v="453"/>
    <n v="0.61278615298715799"/>
  </r>
  <r>
    <s v="P191"/>
    <s v="YouTube"/>
    <d v="2024-12-03T00:00:00"/>
    <s v="Story"/>
    <s v="Explore the latest story on Myntra! Trendy styles await."/>
    <n v="4285"/>
    <n v="886"/>
    <n v="376"/>
    <n v="5547"/>
    <n v="9.9578134817341346E-2"/>
    <n v="55705"/>
    <n v="55556"/>
    <n v="51"/>
    <s v="#MyntraFashion"/>
    <s v="#FashionDeals"/>
    <x v="3"/>
    <n v="32500"/>
    <n v="948"/>
    <n v="0.17067692307692309"/>
  </r>
  <r>
    <s v="P192"/>
    <s v="Instagram"/>
    <d v="2024-11-29T00:00:00"/>
    <s v="Video"/>
    <s v="Explore the latest video on Myntra! Trendy styles await."/>
    <n v="1176"/>
    <n v="464"/>
    <n v="394"/>
    <n v="2034"/>
    <n v="0.1441326530612245"/>
    <n v="14112"/>
    <n v="13588"/>
    <n v="272"/>
    <s v="#FashionDeals"/>
    <m/>
    <x v="0"/>
    <n v="6832"/>
    <n v="637"/>
    <n v="0.29771662763466045"/>
  </r>
  <r>
    <s v="P193"/>
    <s v="Twitter"/>
    <d v="2024-09-11T00:00:00"/>
    <s v="Image"/>
    <s v="Explore the latest image on Myntra! Trendy styles await."/>
    <n v="4858"/>
    <n v="317"/>
    <n v="129"/>
    <n v="5304"/>
    <n v="9.9255211647142488E-2"/>
    <n v="53438"/>
    <n v="52687"/>
    <n v="223"/>
    <s v="#FashionDeals"/>
    <s v="#MyntraTrend"/>
    <x v="0"/>
    <n v="33381"/>
    <n v="1881"/>
    <n v="0.1588927833198526"/>
  </r>
  <r>
    <s v="P194"/>
    <s v="YouTube"/>
    <d v="2024-10-02T00:00:00"/>
    <s v="Story"/>
    <s v="Explore the latest story on Myntra! Trendy styles await."/>
    <n v="4350"/>
    <n v="771"/>
    <n v="7"/>
    <n v="5128"/>
    <n v="8.4203612479474554E-2"/>
    <n v="60900"/>
    <n v="60592"/>
    <n v="195"/>
    <s v="#FashionDeals"/>
    <s v="#StyleWithMyntra"/>
    <x v="1"/>
    <n v="48419"/>
    <n v="339"/>
    <n v="0.105908837439848"/>
  </r>
  <r>
    <s v="P195"/>
    <s v="Instagram"/>
    <d v="2024-08-15T00:00:00"/>
    <s v="Carousel"/>
    <s v="Explore the latest carousel on Myntra! Trendy styles await."/>
    <n v="914"/>
    <n v="464"/>
    <n v="246"/>
    <n v="1624"/>
    <n v="0.13667732704931829"/>
    <n v="11882"/>
    <n v="11500"/>
    <n v="282"/>
    <s v="#MyntraFashion"/>
    <s v="#MyntraTrend"/>
    <x v="2"/>
    <n v="16149"/>
    <n v="1510"/>
    <n v="0.10056350238404854"/>
  </r>
  <r>
    <s v="P196"/>
    <s v="Instagram"/>
    <d v="2024-12-19T00:00:00"/>
    <s v="Text"/>
    <s v="Explore the latest text on Myntra! Trendy styles await."/>
    <n v="1813"/>
    <n v="623"/>
    <n v="72"/>
    <n v="2508"/>
    <n v="0.12575841147269717"/>
    <n v="19943"/>
    <n v="18959"/>
    <n v="85"/>
    <s v="#MyntraTrend"/>
    <s v="#MyntraFashion"/>
    <x v="2"/>
    <n v="7541"/>
    <n v="864"/>
    <n v="0.33258188569155284"/>
  </r>
  <r>
    <s v="P197"/>
    <s v="Twitter"/>
    <d v="2024-10-22T00:00:00"/>
    <s v="Reel"/>
    <s v="Explore the latest reel on Myntra! Trendy styles await."/>
    <n v="4782"/>
    <n v="721"/>
    <n v="82"/>
    <n v="5585"/>
    <n v="6.4884520656164318E-2"/>
    <n v="86076"/>
    <n v="85339"/>
    <n v="19"/>
    <s v="#FashionDeals"/>
    <m/>
    <x v="1"/>
    <n v="20042"/>
    <n v="1656"/>
    <n v="0.27866480391178527"/>
  </r>
  <r>
    <s v="P198"/>
    <s v="Twitter"/>
    <d v="2024-09-14T00:00:00"/>
    <s v="Image"/>
    <s v="Explore the latest image on Myntra! Trendy styles await."/>
    <n v="1048"/>
    <n v="374"/>
    <n v="450"/>
    <n v="1872"/>
    <n v="0.19847328244274809"/>
    <n v="9432"/>
    <n v="8882"/>
    <n v="158"/>
    <s v="#MyntraTrend"/>
    <s v="#MyntraSale"/>
    <x v="1"/>
    <n v="49400"/>
    <n v="407"/>
    <n v="3.7894736842105266E-2"/>
  </r>
  <r>
    <s v="P199"/>
    <s v="YouTube"/>
    <d v="2024-11-30T00:00:00"/>
    <s v="Carousel"/>
    <s v="Explore the latest carousel on Myntra! Trendy styles await."/>
    <n v="2509"/>
    <n v="324"/>
    <n v="171"/>
    <n v="3004"/>
    <n v="8.5520696919660646E-2"/>
    <n v="35126"/>
    <n v="34685"/>
    <n v="277"/>
    <s v="#FashionDeals"/>
    <m/>
    <x v="1"/>
    <n v="4007"/>
    <n v="269"/>
    <n v="0.74968804591964067"/>
  </r>
  <r>
    <s v="P200"/>
    <s v="Facebook"/>
    <d v="2025-04-07T00:00:00"/>
    <s v="Reel"/>
    <s v="Explore the latest reel on Myntra! Trendy styles await."/>
    <n v="3718"/>
    <n v="385"/>
    <n v="310"/>
    <n v="4413"/>
    <n v="6.246991874522239E-2"/>
    <n v="70642"/>
    <n v="69749"/>
    <n v="233"/>
    <s v="#MyntraTrend"/>
    <m/>
    <x v="0"/>
    <n v="12174"/>
    <n v="-337"/>
    <n v="0.36249383932971907"/>
  </r>
  <r>
    <s v="P201"/>
    <s v="Twitter"/>
    <d v="2025-01-15T00:00:00"/>
    <s v="Reel"/>
    <s v="Explore the latest reel on Myntra! Trendy styles await."/>
    <n v="802"/>
    <n v="262"/>
    <n v="244"/>
    <n v="1308"/>
    <n v="9.0606816292601824E-2"/>
    <n v="14436"/>
    <n v="14280"/>
    <n v="49"/>
    <s v="#MyntraSale"/>
    <s v="#FashionDeals"/>
    <x v="3"/>
    <m/>
    <m/>
    <m/>
  </r>
  <r>
    <s v="P202"/>
    <s v="Facebook"/>
    <d v="2024-06-02T00:00:00"/>
    <s v="Image"/>
    <s v="Explore the latest image on Myntra! Trendy styles await."/>
    <n v="1871"/>
    <n v="252"/>
    <n v="335"/>
    <n v="2458"/>
    <n v="8.2108498129342594E-2"/>
    <n v="29936"/>
    <n v="29576"/>
    <n v="288"/>
    <s v="#MyntraTrend"/>
    <m/>
    <x v="1"/>
    <m/>
    <m/>
    <m/>
  </r>
  <r>
    <s v="P203"/>
    <s v="Instagram"/>
    <d v="2024-11-21T00:00:00"/>
    <s v="Carousel"/>
    <s v="Explore the latest carousel on Myntra! Trendy styles await."/>
    <n v="3773"/>
    <n v="299"/>
    <n v="38"/>
    <n v="4110"/>
    <n v="5.7332570758993957E-2"/>
    <n v="71687"/>
    <n v="71447"/>
    <n v="286"/>
    <s v="#MyntraTrend"/>
    <m/>
    <x v="3"/>
    <m/>
    <m/>
    <m/>
  </r>
  <r>
    <s v="P204"/>
    <s v="Instagram"/>
    <d v="2025-01-01T00:00:00"/>
    <s v="Carousel"/>
    <s v="Explore the latest carousel on Myntra! Trendy styles await."/>
    <n v="2234"/>
    <n v="653"/>
    <n v="432"/>
    <n v="3319"/>
    <n v="0.29713518352730528"/>
    <n v="11170"/>
    <n v="10569"/>
    <n v="198"/>
    <s v="#FashionDeals"/>
    <s v="#StyleWithMyntra"/>
    <x v="3"/>
    <m/>
    <m/>
    <m/>
  </r>
  <r>
    <s v="P205"/>
    <s v="Twitter"/>
    <d v="2025-04-24T00:00:00"/>
    <s v="Video"/>
    <s v="Explore the latest video on Myntra! Trendy styles await."/>
    <n v="3820"/>
    <n v="697"/>
    <n v="268"/>
    <n v="4785"/>
    <n v="0.1043848167539267"/>
    <n v="45840"/>
    <n v="45631"/>
    <n v="171"/>
    <s v="#StyleWithMyntra"/>
    <s v="#FashionDeals"/>
    <x v="0"/>
    <m/>
    <m/>
    <m/>
  </r>
  <r>
    <s v="P206"/>
    <s v="Twitter"/>
    <d v="2024-06-24T00:00:00"/>
    <s v="Text"/>
    <s v="Explore the latest text on Myntra! Trendy styles await."/>
    <n v="941"/>
    <n v="121"/>
    <n v="458"/>
    <n v="1520"/>
    <n v="0.10768685795253277"/>
    <n v="14115"/>
    <n v="13838"/>
    <n v="87"/>
    <s v="#MyntraFashion"/>
    <s v="#MyntraSale"/>
    <x v="1"/>
    <m/>
    <m/>
    <m/>
  </r>
  <r>
    <s v="P207"/>
    <s v="Twitter"/>
    <d v="2024-12-29T00:00:00"/>
    <s v="Carousel"/>
    <s v="Explore the latest carousel on Myntra! Trendy styles await."/>
    <n v="4274"/>
    <n v="340"/>
    <n v="281"/>
    <n v="4895"/>
    <n v="0.14316214319138981"/>
    <n v="34192"/>
    <n v="33446"/>
    <n v="129"/>
    <s v="#StyleWithMyntra"/>
    <s v="#FashionDeals"/>
    <x v="2"/>
    <m/>
    <m/>
    <m/>
  </r>
  <r>
    <s v="P208"/>
    <s v="YouTube"/>
    <d v="2024-06-24T00:00:00"/>
    <s v="Video"/>
    <s v="Explore the latest video on Myntra! Trendy styles await."/>
    <n v="2949"/>
    <n v="476"/>
    <n v="403"/>
    <n v="3828"/>
    <n v="8.6537809426924378E-2"/>
    <n v="44235"/>
    <n v="43705"/>
    <n v="135"/>
    <s v="#MyntraTrend"/>
    <s v="#FashionDeals"/>
    <x v="0"/>
    <m/>
    <m/>
    <m/>
  </r>
  <r>
    <s v="P209"/>
    <s v="Twitter"/>
    <d v="2025-03-19T00:00:00"/>
    <s v="Video"/>
    <s v="Explore the latest video on Myntra! Trendy styles await."/>
    <n v="3160"/>
    <n v="204"/>
    <n v="297"/>
    <n v="3661"/>
    <n v="8.2753164556962022E-2"/>
    <n v="44240"/>
    <n v="43666"/>
    <n v="49"/>
    <s v="#StyleWithMyntra"/>
    <s v="#MyntraTrend"/>
    <x v="0"/>
    <m/>
    <m/>
    <m/>
  </r>
  <r>
    <s v="P210"/>
    <s v="YouTube"/>
    <d v="2025-02-19T00:00:00"/>
    <s v="Image"/>
    <s v="Explore the latest image on Myntra! Trendy styles await."/>
    <n v="257"/>
    <n v="966"/>
    <n v="398"/>
    <n v="1621"/>
    <n v="0.48518407662376534"/>
    <n v="3341"/>
    <n v="2753"/>
    <n v="287"/>
    <s v="#MyntraTrend"/>
    <s v="#MyntraSale"/>
    <x v="0"/>
    <m/>
    <m/>
    <m/>
  </r>
  <r>
    <s v="P211"/>
    <s v="Twitter"/>
    <d v="2024-07-18T00:00:00"/>
    <s v="Carousel"/>
    <s v="Explore the latest carousel on Myntra! Trendy styles await."/>
    <n v="2120"/>
    <n v="38"/>
    <n v="212"/>
    <n v="2370"/>
    <n v="0.18632075471698112"/>
    <n v="12720"/>
    <n v="12564"/>
    <n v="21"/>
    <s v="#MyntraTrend"/>
    <s v="#MyntraSale"/>
    <x v="0"/>
    <m/>
    <m/>
    <m/>
  </r>
  <r>
    <s v="P212"/>
    <s v="YouTube"/>
    <d v="2025-03-03T00:00:00"/>
    <s v="Video"/>
    <s v="Explore the latest video on Myntra! Trendy styles await."/>
    <n v="3874"/>
    <n v="884"/>
    <n v="19"/>
    <n v="4777"/>
    <n v="0.123309241094476"/>
    <n v="38740"/>
    <n v="38552"/>
    <n v="219"/>
    <s v="#StyleWithMyntra"/>
    <m/>
    <x v="3"/>
    <m/>
    <m/>
    <m/>
  </r>
  <r>
    <s v="P213"/>
    <s v="Facebook"/>
    <d v="2025-05-01T00:00:00"/>
    <s v="Carousel"/>
    <s v="Explore the latest carousel on Myntra! Trendy styles await."/>
    <n v="2696"/>
    <n v="628"/>
    <n v="443"/>
    <n v="3767"/>
    <n v="8.21914819340199E-2"/>
    <n v="45832"/>
    <n v="45632"/>
    <n v="248"/>
    <s v="#MyntraSale"/>
    <m/>
    <x v="2"/>
    <m/>
    <m/>
    <m/>
  </r>
  <r>
    <s v="P214"/>
    <s v="Instagram"/>
    <d v="2024-12-23T00:00:00"/>
    <s v="Image"/>
    <s v="Explore the latest image on Myntra! Trendy styles await."/>
    <n v="521"/>
    <n v="746"/>
    <n v="315"/>
    <n v="1582"/>
    <n v="0.37955854126679461"/>
    <n v="4168"/>
    <n v="3399"/>
    <n v="282"/>
    <s v="#MyntraSale"/>
    <m/>
    <x v="0"/>
    <m/>
    <m/>
    <m/>
  </r>
  <r>
    <s v="P215"/>
    <s v="Facebook"/>
    <d v="2025-05-06T00:00:00"/>
    <s v="Image"/>
    <s v="Explore the latest image on Myntra! Trendy styles await."/>
    <n v="4872"/>
    <n v="925"/>
    <n v="176"/>
    <n v="5973"/>
    <n v="7.2116777745580993E-2"/>
    <n v="82824"/>
    <n v="82543"/>
    <n v="89"/>
    <s v="#MyntraSale"/>
    <s v="#MyntraTrend"/>
    <x v="0"/>
    <m/>
    <m/>
    <m/>
  </r>
  <r>
    <s v="P216"/>
    <s v="YouTube"/>
    <d v="2024-07-29T00:00:00"/>
    <s v="Story"/>
    <s v="Explore the latest story on Myntra! Trendy styles await."/>
    <n v="1509"/>
    <n v="88"/>
    <n v="163"/>
    <n v="1760"/>
    <n v="5.8316766070245198E-2"/>
    <n v="30180"/>
    <n v="29689"/>
    <n v="119"/>
    <s v="#MyntraTrend"/>
    <m/>
    <x v="0"/>
    <m/>
    <m/>
    <m/>
  </r>
  <r>
    <s v="P217"/>
    <s v="Facebook"/>
    <d v="2024-12-03T00:00:00"/>
    <s v="Image"/>
    <s v="Explore the latest image on Myntra! Trendy styles await."/>
    <n v="4606"/>
    <n v="931"/>
    <n v="230"/>
    <n v="5767"/>
    <n v="6.2603126356925748E-2"/>
    <n v="92120"/>
    <n v="91440"/>
    <n v="56"/>
    <s v="#FashionDeals"/>
    <s v="#MyntraFashion"/>
    <x v="2"/>
    <m/>
    <m/>
    <m/>
  </r>
  <r>
    <s v="P218"/>
    <s v="Facebook"/>
    <d v="2024-06-11T00:00:00"/>
    <s v="Carousel"/>
    <s v="Explore the latest carousel on Myntra! Trendy styles await."/>
    <n v="1869"/>
    <n v="453"/>
    <n v="490"/>
    <n v="2812"/>
    <n v="0.18806848582129482"/>
    <n v="14952"/>
    <n v="14309"/>
    <n v="275"/>
    <s v="#FashionDeals"/>
    <s v="#StyleWithMyntra"/>
    <x v="0"/>
    <m/>
    <m/>
    <m/>
  </r>
  <r>
    <s v="P219"/>
    <s v="Twitter"/>
    <d v="2025-01-28T00:00:00"/>
    <s v="Reel"/>
    <s v="Explore the latest reel on Myntra! Trendy styles await."/>
    <n v="1188"/>
    <n v="470"/>
    <n v="174"/>
    <n v="1832"/>
    <n v="0.25701459034792368"/>
    <n v="7128"/>
    <n v="6145"/>
    <n v="270"/>
    <s v="#StyleWithMyntra"/>
    <s v="#MyntraFashion"/>
    <x v="1"/>
    <m/>
    <m/>
    <m/>
  </r>
  <r>
    <s v="P220"/>
    <s v="Instagram"/>
    <d v="2024-06-02T00:00:00"/>
    <s v="Story"/>
    <s v="Explore the latest story on Myntra! Trendy styles await."/>
    <n v="84"/>
    <n v="897"/>
    <n v="85"/>
    <n v="1066"/>
    <n v="1.8129251700680271"/>
    <n v="588"/>
    <n v="8"/>
    <n v="12"/>
    <s v="#StyleWithMyntra"/>
    <m/>
    <x v="1"/>
    <m/>
    <m/>
    <m/>
  </r>
  <r>
    <s v="P221"/>
    <s v="Facebook"/>
    <d v="2025-03-23T00:00:00"/>
    <s v="Video"/>
    <s v="Explore the latest video on Myntra! Trendy styles await."/>
    <n v="4453"/>
    <n v="111"/>
    <n v="420"/>
    <n v="4984"/>
    <n v="0.15989220750056141"/>
    <n v="31171"/>
    <n v="30565"/>
    <n v="23"/>
    <s v="#MyntraTrend"/>
    <s v="#MyntraFashion"/>
    <x v="3"/>
    <m/>
    <m/>
    <m/>
  </r>
  <r>
    <s v="P222"/>
    <s v="Facebook"/>
    <d v="2024-10-08T00:00:00"/>
    <s v="Reel"/>
    <s v="Explore the latest reel on Myntra! Trendy styles await."/>
    <n v="1814"/>
    <n v="653"/>
    <n v="363"/>
    <n v="2830"/>
    <n v="0.11143487163332809"/>
    <n v="25396"/>
    <n v="25286"/>
    <n v="39"/>
    <s v="#StyleWithMyntra"/>
    <m/>
    <x v="0"/>
    <m/>
    <m/>
    <m/>
  </r>
  <r>
    <s v="P223"/>
    <s v="Twitter"/>
    <d v="2024-11-12T00:00:00"/>
    <s v="Image"/>
    <s v="Explore the latest image on Myntra! Trendy styles await."/>
    <n v="3338"/>
    <n v="277"/>
    <n v="118"/>
    <n v="3733"/>
    <n v="6.2129685107516146E-2"/>
    <n v="60084"/>
    <n v="59842"/>
    <n v="252"/>
    <s v="#StyleWithMyntra"/>
    <m/>
    <x v="0"/>
    <m/>
    <m/>
    <m/>
  </r>
  <r>
    <s v="P224"/>
    <s v="Facebook"/>
    <d v="2025-05-13T00:00:00"/>
    <s v="Image"/>
    <s v="Explore the latest image on Myntra! Trendy styles await."/>
    <n v="602"/>
    <n v="594"/>
    <n v="156"/>
    <n v="1352"/>
    <n v="0.32083531086853345"/>
    <n v="4214"/>
    <n v="3363"/>
    <n v="164"/>
    <s v="#MyntraSale"/>
    <m/>
    <x v="2"/>
    <m/>
    <m/>
    <m/>
  </r>
  <r>
    <s v="P225"/>
    <s v="Twitter"/>
    <d v="2024-06-20T00:00:00"/>
    <s v="Carousel"/>
    <s v="Explore the latest carousel on Myntra! Trendy styles await."/>
    <n v="4672"/>
    <n v="325"/>
    <n v="32"/>
    <n v="5029"/>
    <n v="5.6653298485940883E-2"/>
    <n v="88768"/>
    <n v="87833"/>
    <n v="118"/>
    <s v="#FashionDeals"/>
    <s v="#MyntraSale"/>
    <x v="2"/>
    <m/>
    <m/>
    <m/>
  </r>
  <r>
    <s v="P226"/>
    <s v="Instagram"/>
    <d v="2024-08-07T00:00:00"/>
    <s v="Carousel"/>
    <s v="Explore the latest carousel on Myntra! Trendy styles await."/>
    <n v="1741"/>
    <n v="164"/>
    <n v="318"/>
    <n v="2223"/>
    <n v="0.25537047673750718"/>
    <n v="8705"/>
    <n v="8272"/>
    <n v="121"/>
    <s v="#MyntraSale"/>
    <m/>
    <x v="1"/>
    <m/>
    <m/>
    <m/>
  </r>
  <r>
    <s v="P227"/>
    <s v="Instagram"/>
    <d v="2024-06-12T00:00:00"/>
    <s v="Text"/>
    <s v="Explore the latest text on Myntra! Trendy styles await."/>
    <n v="246"/>
    <n v="149"/>
    <n v="130"/>
    <n v="525"/>
    <n v="0.11232349165596919"/>
    <n v="4674"/>
    <n v="4390"/>
    <n v="217"/>
    <s v="#MyntraTrend"/>
    <s v="#FashionDeals"/>
    <x v="1"/>
    <m/>
    <m/>
    <m/>
  </r>
  <r>
    <s v="P228"/>
    <s v="Instagram"/>
    <d v="2024-07-01T00:00:00"/>
    <s v="Story"/>
    <s v="Explore the latest story on Myntra! Trendy styles await."/>
    <n v="4808"/>
    <n v="772"/>
    <n v="320"/>
    <n v="5900"/>
    <n v="8.1808097615085965E-2"/>
    <n v="72120"/>
    <n v="71696"/>
    <n v="195"/>
    <s v="#MyntraTrend"/>
    <s v="#MyntraSale"/>
    <x v="3"/>
    <m/>
    <m/>
    <m/>
  </r>
  <r>
    <s v="P229"/>
    <s v="Instagram"/>
    <d v="2024-07-03T00:00:00"/>
    <s v="Carousel"/>
    <s v="Explore the latest carousel on Myntra! Trendy styles await."/>
    <n v="4799"/>
    <n v="694"/>
    <n v="289"/>
    <n v="5782"/>
    <n v="0.13387048227640017"/>
    <n v="43191"/>
    <n v="42228"/>
    <n v="118"/>
    <s v="#MyntraTrend"/>
    <m/>
    <x v="1"/>
    <m/>
    <m/>
    <m/>
  </r>
  <r>
    <s v="P230"/>
    <s v="Facebook"/>
    <d v="2024-07-15T00:00:00"/>
    <s v="Reel"/>
    <s v="Explore the latest reel on Myntra! Trendy styles await."/>
    <n v="3663"/>
    <n v="17"/>
    <n v="295"/>
    <n v="3975"/>
    <n v="7.7512577512577507E-2"/>
    <n v="51282"/>
    <n v="50567"/>
    <n v="84"/>
    <s v="#MyntraSale"/>
    <m/>
    <x v="0"/>
    <m/>
    <m/>
    <m/>
  </r>
  <r>
    <s v="P231"/>
    <s v="Instagram"/>
    <d v="2025-05-01T00:00:00"/>
    <s v="Text"/>
    <s v="Explore the latest text on Myntra! Trendy styles await."/>
    <n v="1430"/>
    <n v="376"/>
    <n v="33"/>
    <n v="1839"/>
    <n v="8.5734265734265735E-2"/>
    <n v="21450"/>
    <n v="20509"/>
    <n v="251"/>
    <s v="#FashionDeals"/>
    <m/>
    <x v="2"/>
    <m/>
    <m/>
    <m/>
  </r>
  <r>
    <s v="P232"/>
    <s v="Twitter"/>
    <d v="2025-04-29T00:00:00"/>
    <s v="Story"/>
    <s v="Explore the latest story on Myntra! Trendy styles await."/>
    <n v="249"/>
    <n v="592"/>
    <n v="230"/>
    <n v="1071"/>
    <n v="0.7168674698795181"/>
    <n v="1494"/>
    <n v="1044"/>
    <n v="201"/>
    <s v="#MyntraFashion"/>
    <s v="#MyntraTrend"/>
    <x v="3"/>
    <m/>
    <m/>
    <m/>
  </r>
  <r>
    <s v="P233"/>
    <s v="Facebook"/>
    <d v="2025-03-08T00:00:00"/>
    <s v="Image"/>
    <s v="Explore the latest image on Myntra! Trendy styles await."/>
    <n v="2382"/>
    <n v="265"/>
    <n v="134"/>
    <n v="2781"/>
    <n v="7.2969143576826198E-2"/>
    <n v="38112"/>
    <n v="37437"/>
    <n v="249"/>
    <s v="#FashionDeals"/>
    <s v="#MyntraTrend"/>
    <x v="1"/>
    <m/>
    <m/>
    <m/>
  </r>
  <r>
    <s v="P234"/>
    <s v="Facebook"/>
    <d v="2024-06-01T00:00:00"/>
    <s v="Text"/>
    <s v="Explore the latest text on Myntra! Trendy styles await."/>
    <n v="1272"/>
    <n v="465"/>
    <n v="99"/>
    <n v="1836"/>
    <n v="7.5968222442899705E-2"/>
    <n v="24168"/>
    <n v="23719"/>
    <n v="42"/>
    <s v="#MyntraFashion"/>
    <s v="#FashionDeals"/>
    <x v="1"/>
    <m/>
    <m/>
    <m/>
  </r>
  <r>
    <s v="P235"/>
    <s v="Facebook"/>
    <d v="2024-12-22T00:00:00"/>
    <s v="Image"/>
    <s v="Explore the latest image on Myntra! Trendy styles await."/>
    <n v="3196"/>
    <n v="941"/>
    <n v="376"/>
    <n v="4513"/>
    <n v="0.1283706906360223"/>
    <n v="35156"/>
    <n v="34444"/>
    <n v="241"/>
    <s v="#StyleWithMyntra"/>
    <s v="#MyntraTrend"/>
    <x v="3"/>
    <m/>
    <m/>
    <m/>
  </r>
  <r>
    <s v="P236"/>
    <s v="Facebook"/>
    <d v="2024-08-19T00:00:00"/>
    <s v="Text"/>
    <s v="Explore the latest text on Myntra! Trendy styles await."/>
    <n v="1257"/>
    <n v="19"/>
    <n v="351"/>
    <n v="1627"/>
    <n v="0.12943516308671441"/>
    <n v="12570"/>
    <n v="11660"/>
    <n v="194"/>
    <s v="#StyleWithMyntra"/>
    <m/>
    <x v="0"/>
    <m/>
    <m/>
    <m/>
  </r>
  <r>
    <s v="P237"/>
    <s v="Instagram"/>
    <d v="2024-10-22T00:00:00"/>
    <s v="Story"/>
    <s v="Explore the latest story on Myntra! Trendy styles await."/>
    <n v="3770"/>
    <n v="917"/>
    <n v="129"/>
    <n v="4816"/>
    <n v="6.7234398994834563E-2"/>
    <n v="71630"/>
    <n v="71322"/>
    <n v="76"/>
    <s v="#MyntraSale"/>
    <s v="#MyntraTrend"/>
    <x v="3"/>
    <m/>
    <m/>
    <m/>
  </r>
  <r>
    <s v="P238"/>
    <s v="Twitter"/>
    <d v="2024-07-16T00:00:00"/>
    <s v="Text"/>
    <s v="Explore the latest text on Myntra! Trendy styles await."/>
    <n v="4725"/>
    <n v="400"/>
    <n v="362"/>
    <n v="5487"/>
    <n v="7.2579365079365077E-2"/>
    <n v="75600"/>
    <n v="74927"/>
    <n v="43"/>
    <s v="#MyntraTrend"/>
    <s v="#MyntraFashion"/>
    <x v="0"/>
    <m/>
    <m/>
    <m/>
  </r>
  <r>
    <s v="P239"/>
    <s v="YouTube"/>
    <d v="2025-02-24T00:00:00"/>
    <s v="Text"/>
    <s v="Explore the latest text on Myntra! Trendy styles await."/>
    <n v="4188"/>
    <n v="942"/>
    <n v="118"/>
    <n v="5248"/>
    <n v="0.25062082139446035"/>
    <n v="20940"/>
    <n v="20471"/>
    <n v="102"/>
    <s v="#StyleWithMyntra"/>
    <m/>
    <x v="1"/>
    <m/>
    <m/>
    <m/>
  </r>
  <r>
    <s v="P240"/>
    <s v="Twitter"/>
    <d v="2024-08-26T00:00:00"/>
    <s v="Carousel"/>
    <s v="Explore the latest carousel on Myntra! Trendy styles await."/>
    <n v="929"/>
    <n v="192"/>
    <n v="322"/>
    <n v="1443"/>
    <n v="8.6293505561535699E-2"/>
    <n v="16722"/>
    <n v="15996"/>
    <n v="145"/>
    <s v="#MyntraFashion"/>
    <m/>
    <x v="2"/>
    <m/>
    <m/>
    <m/>
  </r>
  <r>
    <s v="P241"/>
    <s v="Facebook"/>
    <d v="2025-01-18T00:00:00"/>
    <s v="Story"/>
    <s v="Explore the latest story on Myntra! Trendy styles await."/>
    <n v="4321"/>
    <n v="874"/>
    <n v="172"/>
    <n v="5367"/>
    <n v="0.17743908486792079"/>
    <n v="30247"/>
    <n v="29254"/>
    <n v="122"/>
    <s v="#MyntraSale"/>
    <s v="#MyntraFashion"/>
    <x v="2"/>
    <m/>
    <m/>
    <m/>
  </r>
  <r>
    <s v="P242"/>
    <s v="Facebook"/>
    <d v="2024-07-07T00:00:00"/>
    <s v="Reel"/>
    <s v="Explore the latest reel on Myntra! Trendy styles await."/>
    <n v="4767"/>
    <n v="190"/>
    <n v="340"/>
    <n v="5297"/>
    <n v="0.18519683938186141"/>
    <n v="28602"/>
    <n v="28044"/>
    <n v="210"/>
    <s v="#FashionDeals"/>
    <m/>
    <x v="3"/>
    <m/>
    <m/>
    <m/>
  </r>
  <r>
    <s v="P243"/>
    <s v="Twitter"/>
    <d v="2025-03-06T00:00:00"/>
    <s v="Image"/>
    <s v="Explore the latest image on Myntra! Trendy styles await."/>
    <n v="3592"/>
    <n v="911"/>
    <n v="375"/>
    <n v="4878"/>
    <n v="9.7001272669424113E-2"/>
    <n v="50288"/>
    <n v="49490"/>
    <n v="32"/>
    <s v="#StyleWithMyntra"/>
    <m/>
    <x v="1"/>
    <m/>
    <m/>
    <m/>
  </r>
  <r>
    <s v="P244"/>
    <s v="YouTube"/>
    <d v="2024-10-25T00:00:00"/>
    <s v="Video"/>
    <s v="Explore the latest video on Myntra! Trendy styles await."/>
    <n v="4661"/>
    <n v="935"/>
    <n v="433"/>
    <n v="6029"/>
    <n v="0.25869984981763572"/>
    <n v="23305"/>
    <n v="22583"/>
    <n v="63"/>
    <s v="#StyleWithMyntra"/>
    <s v="#FashionDeals"/>
    <x v="0"/>
    <m/>
    <m/>
    <m/>
  </r>
  <r>
    <s v="P245"/>
    <s v="Facebook"/>
    <d v="2025-01-12T00:00:00"/>
    <s v="Reel"/>
    <s v="Explore the latest reel on Myntra! Trendy styles await."/>
    <n v="4134"/>
    <n v="824"/>
    <n v="99"/>
    <n v="5057"/>
    <n v="0.12232704402515723"/>
    <n v="41340"/>
    <n v="41050"/>
    <n v="177"/>
    <s v="#MyntraFashion"/>
    <m/>
    <x v="1"/>
    <m/>
    <m/>
    <m/>
  </r>
  <r>
    <s v="P246"/>
    <s v="Facebook"/>
    <d v="2024-10-11T00:00:00"/>
    <s v="Image"/>
    <s v="Explore the latest image on Myntra! Trendy styles await."/>
    <n v="400"/>
    <n v="680"/>
    <n v="434"/>
    <n v="1514"/>
    <n v="0.23656250000000001"/>
    <n v="6400"/>
    <n v="5472"/>
    <n v="160"/>
    <s v="#MyntraSale"/>
    <s v="#MyntraTrend"/>
    <x v="1"/>
    <m/>
    <m/>
    <m/>
  </r>
  <r>
    <s v="P247"/>
    <s v="Facebook"/>
    <d v="2024-08-27T00:00:00"/>
    <s v="Reel"/>
    <s v="Explore the latest reel on Myntra! Trendy styles await."/>
    <n v="3960"/>
    <n v="266"/>
    <n v="8"/>
    <n v="4234"/>
    <n v="0.11879910213243547"/>
    <n v="35640"/>
    <n v="34850"/>
    <n v="208"/>
    <s v="#MyntraTrend"/>
    <s v="#MyntraFashion"/>
    <x v="3"/>
    <m/>
    <m/>
    <m/>
  </r>
  <r>
    <s v="P248"/>
    <s v="Facebook"/>
    <d v="2025-02-02T00:00:00"/>
    <s v="Story"/>
    <s v="Explore the latest story on Myntra! Trendy styles await."/>
    <n v="886"/>
    <n v="126"/>
    <n v="153"/>
    <n v="1165"/>
    <n v="0.26297968397291194"/>
    <n v="4430"/>
    <n v="4037"/>
    <n v="212"/>
    <s v="#MyntraSale"/>
    <m/>
    <x v="2"/>
    <m/>
    <m/>
    <m/>
  </r>
  <r>
    <s v="P249"/>
    <s v="Twitter"/>
    <d v="2024-07-18T00:00:00"/>
    <s v="Image"/>
    <s v="Explore the latest image on Myntra! Trendy styles await."/>
    <n v="827"/>
    <n v="77"/>
    <n v="402"/>
    <n v="1306"/>
    <n v="8.7733440816874911E-2"/>
    <n v="14886"/>
    <n v="14129"/>
    <n v="254"/>
    <s v="#StyleWithMyntra"/>
    <m/>
    <x v="1"/>
    <m/>
    <m/>
    <m/>
  </r>
  <r>
    <s v="P250"/>
    <s v="Facebook"/>
    <d v="2024-06-22T00:00:00"/>
    <s v="Reel"/>
    <s v="Explore the latest reel on Myntra! Trendy styles await."/>
    <n v="3813"/>
    <n v="935"/>
    <n v="274"/>
    <n v="5022"/>
    <n v="7.3170731707317069E-2"/>
    <n v="68634"/>
    <n v="68488"/>
    <n v="251"/>
    <s v="#FashionDeals"/>
    <s v="#MyntraTrend"/>
    <x v="0"/>
    <m/>
    <m/>
    <m/>
  </r>
  <r>
    <s v="P251"/>
    <s v="Instagram"/>
    <d v="2025-03-27T00:00:00"/>
    <s v="Carousel"/>
    <s v="Explore the latest carousel on Myntra! Trendy styles await."/>
    <n v="1377"/>
    <n v="796"/>
    <n v="387"/>
    <n v="2560"/>
    <n v="0.11619462599854757"/>
    <n v="22032"/>
    <n v="21869"/>
    <n v="189"/>
    <s v="#FashionDeals"/>
    <s v="#MyntraFashion"/>
    <x v="2"/>
    <m/>
    <m/>
    <m/>
  </r>
  <r>
    <s v="P252"/>
    <s v="Facebook"/>
    <d v="2025-04-28T00:00:00"/>
    <s v="Carousel"/>
    <s v="Explore the latest carousel on Myntra! Trendy styles await."/>
    <n v="2089"/>
    <n v="476"/>
    <n v="69"/>
    <n v="2634"/>
    <n v="0.15761129727142173"/>
    <n v="16712"/>
    <n v="16309"/>
    <n v="64"/>
    <s v="#StyleWithMyntra"/>
    <s v="#MyntraSale"/>
    <x v="0"/>
    <m/>
    <m/>
    <m/>
  </r>
  <r>
    <s v="P253"/>
    <s v="Twitter"/>
    <d v="2024-08-03T00:00:00"/>
    <s v="Reel"/>
    <s v="Explore the latest reel on Myntra! Trendy styles await."/>
    <n v="3791"/>
    <n v="593"/>
    <n v="228"/>
    <n v="4612"/>
    <n v="8.6897539284772202E-2"/>
    <n v="53074"/>
    <n v="52613"/>
    <n v="205"/>
    <s v="#StyleWithMyntra"/>
    <s v="#FashionDeals"/>
    <x v="0"/>
    <m/>
    <m/>
    <m/>
  </r>
  <r>
    <s v="P254"/>
    <s v="Twitter"/>
    <d v="2025-01-14T00:00:00"/>
    <s v="Image"/>
    <s v="Explore the latest image on Myntra! Trendy styles await."/>
    <n v="2692"/>
    <n v="115"/>
    <n v="64"/>
    <n v="2871"/>
    <n v="0.13331166419019316"/>
    <n v="21536"/>
    <n v="21120"/>
    <n v="224"/>
    <s v="#FashionDeals"/>
    <s v="#MyntraTrend"/>
    <x v="3"/>
    <m/>
    <m/>
    <m/>
  </r>
  <r>
    <s v="P255"/>
    <s v="Facebook"/>
    <d v="2025-04-03T00:00:00"/>
    <s v="Story"/>
    <s v="Explore the latest story on Myntra! Trendy styles await."/>
    <n v="3767"/>
    <n v="514"/>
    <n v="238"/>
    <n v="4519"/>
    <n v="0.11996283514733209"/>
    <n v="37670"/>
    <n v="36807"/>
    <n v="226"/>
    <s v="#StyleWithMyntra"/>
    <s v="#FashionDeals"/>
    <x v="0"/>
    <m/>
    <m/>
    <m/>
  </r>
  <r>
    <s v="P256"/>
    <s v="YouTube"/>
    <d v="2024-09-18T00:00:00"/>
    <s v="Carousel"/>
    <s v="Explore the latest carousel on Myntra! Trendy styles await."/>
    <n v="2143"/>
    <n v="12"/>
    <n v="204"/>
    <n v="2359"/>
    <n v="5.7936488444630008E-2"/>
    <n v="40717"/>
    <n v="40125"/>
    <n v="248"/>
    <s v="#FashionDeals"/>
    <s v="#MyntraSale"/>
    <x v="3"/>
    <m/>
    <m/>
    <m/>
  </r>
  <r>
    <s v="P257"/>
    <s v="Facebook"/>
    <d v="2025-04-06T00:00:00"/>
    <s v="Image"/>
    <s v="Explore the latest image on Myntra! Trendy styles await."/>
    <n v="3090"/>
    <n v="697"/>
    <n v="164"/>
    <n v="3951"/>
    <n v="7.9915048543689318E-2"/>
    <n v="49440"/>
    <n v="48524"/>
    <n v="25"/>
    <s v="#FashionDeals"/>
    <s v="#StyleWithMyntra"/>
    <x v="3"/>
    <m/>
    <m/>
    <m/>
  </r>
  <r>
    <s v="P258"/>
    <s v="Instagram"/>
    <d v="2024-08-05T00:00:00"/>
    <s v="Story"/>
    <s v="Explore the latest story on Myntra! Trendy styles await."/>
    <n v="3601"/>
    <n v="695"/>
    <n v="75"/>
    <n v="4371"/>
    <n v="0.2023049153013052"/>
    <n v="21606"/>
    <n v="21454"/>
    <n v="172"/>
    <s v="#StyleWithMyntra"/>
    <m/>
    <x v="1"/>
    <m/>
    <m/>
    <m/>
  </r>
  <r>
    <s v="P259"/>
    <s v="Facebook"/>
    <d v="2025-02-10T00:00:00"/>
    <s v="Text"/>
    <s v="Explore the latest text on Myntra! Trendy styles await."/>
    <n v="562"/>
    <n v="158"/>
    <n v="149"/>
    <n v="869"/>
    <n v="0.25771055753262156"/>
    <n v="3372"/>
    <n v="2940"/>
    <n v="93"/>
    <s v="#FashionDeals"/>
    <s v="#MyntraSale"/>
    <x v="3"/>
    <m/>
    <m/>
    <m/>
  </r>
  <r>
    <s v="P260"/>
    <s v="Instagram"/>
    <d v="2025-02-12T00:00:00"/>
    <s v="Story"/>
    <s v="Explore the latest story on Myntra! Trendy styles await."/>
    <n v="4332"/>
    <n v="771"/>
    <n v="219"/>
    <n v="5322"/>
    <n v="8.7752275425405618E-2"/>
    <n v="60648"/>
    <n v="60397"/>
    <n v="10"/>
    <s v="#MyntraFashion"/>
    <m/>
    <x v="2"/>
    <m/>
    <m/>
    <m/>
  </r>
  <r>
    <s v="P261"/>
    <s v="Instagram"/>
    <d v="2024-10-27T00:00:00"/>
    <s v="Image"/>
    <s v="Explore the latest image on Myntra! Trendy styles await."/>
    <n v="4853"/>
    <n v="837"/>
    <n v="340"/>
    <n v="6030"/>
    <n v="8.2835359571399134E-2"/>
    <n v="72795"/>
    <n v="72237"/>
    <n v="170"/>
    <s v="#MyntraSale"/>
    <m/>
    <x v="1"/>
    <m/>
    <m/>
    <m/>
  </r>
  <r>
    <s v="P262"/>
    <s v="YouTube"/>
    <d v="2025-01-18T00:00:00"/>
    <s v="Image"/>
    <s v="Explore the latest image on Myntra! Trendy styles await."/>
    <n v="1206"/>
    <n v="238"/>
    <n v="36"/>
    <n v="1480"/>
    <n v="0.15339966832504145"/>
    <n v="9648"/>
    <n v="9417"/>
    <n v="237"/>
    <s v="#MyntraSale"/>
    <s v="#StyleWithMyntra"/>
    <x v="2"/>
    <m/>
    <m/>
    <m/>
  </r>
  <r>
    <s v="P263"/>
    <s v="Instagram"/>
    <d v="2024-08-20T00:00:00"/>
    <s v="Reel"/>
    <s v="Explore the latest reel on Myntra! Trendy styles await."/>
    <n v="2603"/>
    <n v="690"/>
    <n v="205"/>
    <n v="3498"/>
    <n v="0.26876680752977333"/>
    <n v="13015"/>
    <n v="12130"/>
    <n v="20"/>
    <s v="#MyntraTrend"/>
    <m/>
    <x v="0"/>
    <m/>
    <m/>
    <m/>
  </r>
  <r>
    <s v="P264"/>
    <s v="Twitter"/>
    <d v="2025-01-30T00:00:00"/>
    <s v="Image"/>
    <s v="Explore the latest image on Myntra! Trendy styles await."/>
    <n v="59"/>
    <n v="163"/>
    <n v="93"/>
    <n v="315"/>
    <n v="0.53389830508474578"/>
    <n v="590"/>
    <n v="475"/>
    <n v="293"/>
    <s v="#MyntraTrend"/>
    <m/>
    <x v="3"/>
    <m/>
    <m/>
    <m/>
  </r>
  <r>
    <s v="P265"/>
    <s v="Twitter"/>
    <d v="2025-02-20T00:00:00"/>
    <s v="Carousel"/>
    <s v="Explore the latest carousel on Myntra! Trendy styles await."/>
    <n v="1877"/>
    <n v="745"/>
    <n v="225"/>
    <n v="2847"/>
    <n v="0.25279701651571657"/>
    <n v="11262"/>
    <n v="10967"/>
    <n v="41"/>
    <s v="#StyleWithMyntra"/>
    <s v="#MyntraSale"/>
    <x v="0"/>
    <m/>
    <m/>
    <m/>
  </r>
  <r>
    <s v="P266"/>
    <s v="Facebook"/>
    <d v="2024-11-25T00:00:00"/>
    <s v="Story"/>
    <s v="Explore the latest story on Myntra! Trendy styles await."/>
    <n v="4182"/>
    <n v="640"/>
    <n v="240"/>
    <n v="5062"/>
    <n v="0.10086880280567512"/>
    <n v="50184"/>
    <n v="49351"/>
    <n v="10"/>
    <s v="#MyntraSale"/>
    <s v="#StyleWithMyntra"/>
    <x v="2"/>
    <m/>
    <m/>
    <m/>
  </r>
  <r>
    <s v="P267"/>
    <s v="Twitter"/>
    <d v="2024-10-04T00:00:00"/>
    <s v="Reel"/>
    <s v="Explore the latest reel on Myntra! Trendy styles await."/>
    <n v="4187"/>
    <n v="66"/>
    <n v="31"/>
    <n v="4284"/>
    <n v="6.3947934081681396E-2"/>
    <n v="66992"/>
    <n v="66614"/>
    <n v="62"/>
    <s v="#StyleWithMyntra"/>
    <m/>
    <x v="3"/>
    <m/>
    <m/>
    <m/>
  </r>
  <r>
    <s v="P268"/>
    <s v="Instagram"/>
    <d v="2025-04-13T00:00:00"/>
    <s v="Reel"/>
    <s v="Explore the latest reel on Myntra! Trendy styles await."/>
    <n v="4579"/>
    <n v="125"/>
    <n v="300"/>
    <n v="5004"/>
    <n v="8.4062694239588759E-2"/>
    <n v="59527"/>
    <n v="59400"/>
    <n v="269"/>
    <s v="#StyleWithMyntra"/>
    <s v="#MyntraFashion"/>
    <x v="0"/>
    <m/>
    <m/>
    <m/>
  </r>
  <r>
    <s v="P269"/>
    <s v="Instagram"/>
    <d v="2024-11-05T00:00:00"/>
    <s v="Video"/>
    <s v="Explore the latest video on Myntra! Trendy styles await."/>
    <n v="4561"/>
    <n v="51"/>
    <n v="441"/>
    <n v="5053"/>
    <n v="0.22157421618066214"/>
    <n v="22805"/>
    <n v="21890"/>
    <n v="45"/>
    <s v="#StyleWithMyntra"/>
    <m/>
    <x v="1"/>
    <m/>
    <m/>
    <m/>
  </r>
  <r>
    <s v="P270"/>
    <s v="YouTube"/>
    <d v="2025-01-15T00:00:00"/>
    <s v="Reel"/>
    <s v="Explore the latest reel on Myntra! Trendy styles await."/>
    <n v="3774"/>
    <n v="239"/>
    <n v="39"/>
    <n v="4052"/>
    <n v="6.7103868574456813E-2"/>
    <n v="60384"/>
    <n v="59490"/>
    <n v="241"/>
    <s v="#FashionDeals"/>
    <m/>
    <x v="2"/>
    <m/>
    <m/>
    <m/>
  </r>
  <r>
    <s v="P271"/>
    <s v="Instagram"/>
    <d v="2024-10-17T00:00:00"/>
    <s v="Video"/>
    <s v="Explore the latest video on Myntra! Trendy styles await."/>
    <n v="3575"/>
    <n v="749"/>
    <n v="111"/>
    <n v="4435"/>
    <n v="0.20675990675990677"/>
    <n v="21450"/>
    <n v="20785"/>
    <n v="195"/>
    <s v="#FashionDeals"/>
    <m/>
    <x v="2"/>
    <m/>
    <m/>
    <m/>
  </r>
  <r>
    <s v="P272"/>
    <s v="Instagram"/>
    <d v="2025-03-27T00:00:00"/>
    <s v="Text"/>
    <s v="Explore the latest text on Myntra! Trendy styles await."/>
    <n v="4941"/>
    <n v="414"/>
    <n v="266"/>
    <n v="5621"/>
    <n v="0.14220299534507186"/>
    <n v="39528"/>
    <n v="39154"/>
    <n v="217"/>
    <s v="#MyntraSale"/>
    <m/>
    <x v="1"/>
    <m/>
    <m/>
    <m/>
  </r>
  <r>
    <s v="P273"/>
    <s v="YouTube"/>
    <d v="2024-10-12T00:00:00"/>
    <s v="Story"/>
    <s v="Explore the latest story on Myntra! Trendy styles await."/>
    <n v="3641"/>
    <n v="226"/>
    <n v="46"/>
    <n v="3913"/>
    <n v="9.7700431949264685E-2"/>
    <n v="40051"/>
    <n v="39319"/>
    <n v="296"/>
    <s v="#MyntraTrend"/>
    <m/>
    <x v="1"/>
    <m/>
    <m/>
    <m/>
  </r>
  <r>
    <s v="P274"/>
    <s v="Twitter"/>
    <d v="2025-01-01T00:00:00"/>
    <s v="Carousel"/>
    <s v="Explore the latest carousel on Myntra! Trendy styles await."/>
    <n v="3535"/>
    <n v="494"/>
    <n v="152"/>
    <n v="4181"/>
    <n v="7.8849599245638849E-2"/>
    <n v="53025"/>
    <n v="52791"/>
    <n v="44"/>
    <s v="#MyntraTrend"/>
    <s v="#StyleWithMyntra"/>
    <x v="1"/>
    <m/>
    <m/>
    <m/>
  </r>
  <r>
    <s v="P275"/>
    <s v="Facebook"/>
    <d v="2024-08-05T00:00:00"/>
    <s v="Reel"/>
    <s v="Explore the latest reel on Myntra! Trendy styles await."/>
    <n v="1741"/>
    <n v="831"/>
    <n v="345"/>
    <n v="2917"/>
    <n v="0.16754738655944859"/>
    <n v="17410"/>
    <n v="16844"/>
    <n v="58"/>
    <s v="#MyntraFashion"/>
    <s v="#FashionDeals"/>
    <x v="3"/>
    <m/>
    <m/>
    <m/>
  </r>
  <r>
    <s v="P276"/>
    <s v="Twitter"/>
    <d v="2024-06-07T00:00:00"/>
    <s v="Carousel"/>
    <s v="Explore the latest carousel on Myntra! Trendy styles await."/>
    <n v="1556"/>
    <n v="195"/>
    <n v="131"/>
    <n v="1882"/>
    <n v="0.2015852613538989"/>
    <n v="9336"/>
    <n v="8875"/>
    <n v="137"/>
    <s v="#MyntraFashion"/>
    <m/>
    <x v="1"/>
    <m/>
    <m/>
    <m/>
  </r>
  <r>
    <s v="P277"/>
    <s v="Facebook"/>
    <d v="2025-04-06T00:00:00"/>
    <s v="Image"/>
    <s v="Explore the latest image on Myntra! Trendy styles await."/>
    <n v="4236"/>
    <n v="711"/>
    <n v="298"/>
    <n v="5245"/>
    <n v="0.24763928234183191"/>
    <n v="21180"/>
    <n v="20516"/>
    <n v="238"/>
    <s v="#MyntraTrend"/>
    <s v="#MyntraSale"/>
    <x v="3"/>
    <m/>
    <m/>
    <m/>
  </r>
  <r>
    <s v="P278"/>
    <s v="Twitter"/>
    <d v="2024-11-26T00:00:00"/>
    <s v="Text"/>
    <s v="Explore the latest text on Myntra! Trendy styles await."/>
    <n v="4516"/>
    <n v="836"/>
    <n v="169"/>
    <n v="5521"/>
    <n v="0.11114018842096787"/>
    <n v="49676"/>
    <n v="49257"/>
    <n v="282"/>
    <s v="#MyntraTrend"/>
    <m/>
    <x v="0"/>
    <m/>
    <m/>
    <m/>
  </r>
  <r>
    <s v="P279"/>
    <s v="YouTube"/>
    <d v="2024-09-02T00:00:00"/>
    <s v="Image"/>
    <s v="Explore the latest image on Myntra! Trendy styles await."/>
    <n v="4905"/>
    <n v="845"/>
    <n v="129"/>
    <n v="5879"/>
    <n v="5.9928644240570844E-2"/>
    <n v="98100"/>
    <n v="97772"/>
    <n v="279"/>
    <s v="#MyntraTrend"/>
    <m/>
    <x v="3"/>
    <m/>
    <m/>
    <m/>
  </r>
  <r>
    <s v="P280"/>
    <s v="YouTube"/>
    <d v="2024-10-21T00:00:00"/>
    <s v="Video"/>
    <s v="Explore the latest video on Myntra! Trendy styles await."/>
    <n v="4275"/>
    <n v="680"/>
    <n v="385"/>
    <n v="5340"/>
    <n v="8.3274853801169585E-2"/>
    <n v="64125"/>
    <n v="63650"/>
    <n v="104"/>
    <s v="#StyleWithMyntra"/>
    <m/>
    <x v="3"/>
    <m/>
    <m/>
    <m/>
  </r>
  <r>
    <s v="P281"/>
    <s v="YouTube"/>
    <d v="2025-03-22T00:00:00"/>
    <s v="Image"/>
    <s v="Explore the latest image on Myntra! Trendy styles await."/>
    <n v="3166"/>
    <n v="90"/>
    <n v="341"/>
    <n v="3597"/>
    <n v="6.3118551273952411E-2"/>
    <n v="56988"/>
    <n v="56125"/>
    <n v="135"/>
    <s v="#MyntraFashion"/>
    <s v="#StyleWithMyntra"/>
    <x v="1"/>
    <m/>
    <m/>
    <m/>
  </r>
  <r>
    <s v="P282"/>
    <s v="Instagram"/>
    <d v="2024-10-03T00:00:00"/>
    <s v="Video"/>
    <s v="Explore the latest video on Myntra! Trendy styles await."/>
    <n v="1488"/>
    <n v="417"/>
    <n v="168"/>
    <n v="2073"/>
    <n v="0.1071650124069479"/>
    <n v="19344"/>
    <n v="18395"/>
    <n v="30"/>
    <s v="#MyntraSale"/>
    <m/>
    <x v="0"/>
    <m/>
    <m/>
    <m/>
  </r>
  <r>
    <s v="P283"/>
    <s v="Twitter"/>
    <d v="2025-05-09T00:00:00"/>
    <s v="Reel"/>
    <s v="Explore the latest reel on Myntra! Trendy styles await."/>
    <n v="3367"/>
    <n v="302"/>
    <n v="57"/>
    <n v="3726"/>
    <n v="5.8243321401216137E-2"/>
    <n v="63973"/>
    <n v="63789"/>
    <n v="157"/>
    <s v="#MyntraTrend"/>
    <s v="#MyntraFashion"/>
    <x v="2"/>
    <m/>
    <m/>
    <m/>
  </r>
  <r>
    <s v="P284"/>
    <s v="Twitter"/>
    <d v="2024-09-17T00:00:00"/>
    <s v="Text"/>
    <s v="Explore the latest text on Myntra! Trendy styles await."/>
    <n v="571"/>
    <n v="190"/>
    <n v="352"/>
    <n v="1113"/>
    <n v="0.11465952405480581"/>
    <n v="9707"/>
    <n v="9418"/>
    <n v="231"/>
    <s v="#FashionDeals"/>
    <m/>
    <x v="1"/>
    <m/>
    <m/>
    <m/>
  </r>
  <r>
    <s v="P285"/>
    <s v="YouTube"/>
    <d v="2024-07-18T00:00:00"/>
    <s v="Text"/>
    <s v="Explore the latest text on Myntra! Trendy styles await."/>
    <n v="4021"/>
    <n v="794"/>
    <n v="77"/>
    <n v="4892"/>
    <n v="0.13517919809886983"/>
    <n v="36189"/>
    <n v="35505"/>
    <n v="174"/>
    <s v="#FashionDeals"/>
    <s v="#StyleWithMyntra"/>
    <x v="0"/>
    <m/>
    <m/>
    <m/>
  </r>
  <r>
    <s v="P286"/>
    <s v="YouTube"/>
    <d v="2024-09-25T00:00:00"/>
    <s v="Video"/>
    <s v="Explore the latest video on Myntra! Trendy styles await."/>
    <n v="3389"/>
    <n v="344"/>
    <n v="229"/>
    <n v="3962"/>
    <n v="0.19484607062063539"/>
    <n v="20334"/>
    <n v="19443"/>
    <n v="228"/>
    <s v="#MyntraFashion"/>
    <s v="#MyntraSale"/>
    <x v="1"/>
    <m/>
    <m/>
    <m/>
  </r>
  <r>
    <s v="P287"/>
    <s v="Instagram"/>
    <d v="2024-08-15T00:00:00"/>
    <s v="Reel"/>
    <s v="Explore the latest reel on Myntra! Trendy styles await."/>
    <n v="1164"/>
    <n v="616"/>
    <n v="324"/>
    <n v="2104"/>
    <n v="0.30126002290950743"/>
    <n v="6984"/>
    <n v="6636"/>
    <n v="82"/>
    <s v="#MyntraFashion"/>
    <s v="#MyntraTrend"/>
    <x v="2"/>
    <m/>
    <m/>
    <m/>
  </r>
  <r>
    <s v="P288"/>
    <s v="YouTube"/>
    <d v="2025-04-17T00:00:00"/>
    <s v="Carousel"/>
    <s v="Explore the latest carousel on Myntra! Trendy styles await."/>
    <n v="4780"/>
    <n v="691"/>
    <n v="380"/>
    <n v="5851"/>
    <n v="6.800325430032543E-2"/>
    <n v="86040"/>
    <n v="85743"/>
    <n v="262"/>
    <s v="#MyntraFashion"/>
    <s v="#FashionDeals"/>
    <x v="2"/>
    <m/>
    <m/>
    <m/>
  </r>
  <r>
    <s v="P289"/>
    <s v="Facebook"/>
    <d v="2024-11-28T00:00:00"/>
    <s v="Carousel"/>
    <s v="Explore the latest carousel on Myntra! Trendy styles await."/>
    <n v="2751"/>
    <n v="33"/>
    <n v="430"/>
    <n v="3214"/>
    <n v="7.3018902217375503E-2"/>
    <n v="44016"/>
    <n v="43415"/>
    <n v="129"/>
    <s v="#MyntraTrend"/>
    <s v="#StyleWithMyntra"/>
    <x v="1"/>
    <m/>
    <m/>
    <m/>
  </r>
  <r>
    <s v="P290"/>
    <s v="Instagram"/>
    <d v="2024-12-20T00:00:00"/>
    <s v="Carousel"/>
    <s v="Explore the latest carousel on Myntra! Trendy styles await."/>
    <n v="2107"/>
    <n v="550"/>
    <n v="349"/>
    <n v="3006"/>
    <n v="8.3921940869371006E-2"/>
    <n v="35819"/>
    <n v="35340"/>
    <n v="191"/>
    <s v="#MyntraTrend"/>
    <m/>
    <x v="2"/>
    <m/>
    <m/>
    <m/>
  </r>
  <r>
    <s v="P291"/>
    <s v="Facebook"/>
    <d v="2024-11-06T00:00:00"/>
    <s v="Video"/>
    <s v="Explore the latest video on Myntra! Trendy styles await."/>
    <n v="4663"/>
    <n v="145"/>
    <n v="225"/>
    <n v="5033"/>
    <n v="7.1956537279290869E-2"/>
    <n v="69945"/>
    <n v="69596"/>
    <n v="35"/>
    <s v="#MyntraFashion"/>
    <m/>
    <x v="1"/>
    <m/>
    <m/>
    <m/>
  </r>
  <r>
    <s v="P292"/>
    <s v="Facebook"/>
    <d v="2024-11-17T00:00:00"/>
    <s v="Text"/>
    <s v="Explore the latest text on Myntra! Trendy styles await."/>
    <n v="880"/>
    <n v="297"/>
    <n v="345"/>
    <n v="1522"/>
    <n v="0.12353896103896105"/>
    <n v="12320"/>
    <n v="11978"/>
    <n v="238"/>
    <s v="#MyntraSale"/>
    <m/>
    <x v="1"/>
    <m/>
    <m/>
    <m/>
  </r>
  <r>
    <s v="P293"/>
    <s v="Facebook"/>
    <d v="2025-05-14T00:00:00"/>
    <s v="Text"/>
    <s v="Explore the latest text on Myntra! Trendy styles await."/>
    <n v="2634"/>
    <n v="726"/>
    <n v="241"/>
    <n v="3601"/>
    <n v="0.12428384068475185"/>
    <n v="28974"/>
    <n v="28102"/>
    <n v="277"/>
    <s v="#StyleWithMyntra"/>
    <m/>
    <x v="2"/>
    <m/>
    <m/>
    <m/>
  </r>
  <r>
    <s v="P294"/>
    <s v="Facebook"/>
    <d v="2024-06-19T00:00:00"/>
    <s v="Carousel"/>
    <s v="Explore the latest carousel on Myntra! Trendy styles await."/>
    <n v="4731"/>
    <n v="173"/>
    <n v="276"/>
    <n v="5180"/>
    <n v="0.18248432325794406"/>
    <n v="28386"/>
    <n v="28185"/>
    <n v="89"/>
    <s v="#MyntraTrend"/>
    <s v="#MyntraFashion"/>
    <x v="3"/>
    <m/>
    <m/>
    <m/>
  </r>
  <r>
    <s v="P295"/>
    <s v="Twitter"/>
    <d v="2025-05-06T00:00:00"/>
    <s v="Image"/>
    <s v="Explore the latest image on Myntra! Trendy styles await."/>
    <n v="1952"/>
    <n v="344"/>
    <n v="287"/>
    <n v="2583"/>
    <n v="0.16540727459016394"/>
    <n v="15616"/>
    <n v="15403"/>
    <n v="235"/>
    <s v="#MyntraSale"/>
    <s v="#MyntraFashion"/>
    <x v="2"/>
    <m/>
    <m/>
    <m/>
  </r>
  <r>
    <s v="P296"/>
    <s v="Twitter"/>
    <d v="2025-02-11T00:00:00"/>
    <s v="Video"/>
    <s v="Explore the latest video on Myntra! Trendy styles await."/>
    <n v="3440"/>
    <n v="13"/>
    <n v="20"/>
    <n v="3473"/>
    <n v="5.9387824897400819E-2"/>
    <n v="58480"/>
    <n v="58146"/>
    <n v="210"/>
    <s v="#MyntraFashion"/>
    <s v="#FashionDeals"/>
    <x v="0"/>
    <m/>
    <m/>
    <m/>
  </r>
  <r>
    <s v="P297"/>
    <s v="Twitter"/>
    <d v="2024-12-24T00:00:00"/>
    <s v="Text"/>
    <s v="Explore the latest text on Myntra! Trendy styles await."/>
    <n v="2166"/>
    <n v="354"/>
    <n v="117"/>
    <n v="2637"/>
    <n v="0.24349030470914126"/>
    <n v="10830"/>
    <n v="10245"/>
    <n v="24"/>
    <s v="#StyleWithMyntra"/>
    <s v="#MyntraTrend"/>
    <x v="0"/>
    <m/>
    <m/>
    <m/>
  </r>
  <r>
    <s v="P298"/>
    <s v="Facebook"/>
    <d v="2024-10-24T00:00:00"/>
    <s v="Image"/>
    <s v="Explore the latest image on Myntra! Trendy styles await."/>
    <n v="4303"/>
    <n v="451"/>
    <n v="286"/>
    <n v="5040"/>
    <n v="5.8563792702765516E-2"/>
    <n v="86060"/>
    <n v="85823"/>
    <n v="14"/>
    <s v="#MyntraSale"/>
    <m/>
    <x v="1"/>
    <m/>
    <m/>
    <m/>
  </r>
  <r>
    <s v="P299"/>
    <s v="Facebook"/>
    <d v="2024-08-26T00:00:00"/>
    <s v="Image"/>
    <s v="Explore the latest image on Myntra! Trendy styles await."/>
    <n v="2581"/>
    <n v="517"/>
    <n v="117"/>
    <n v="3215"/>
    <n v="0.13840458048129492"/>
    <n v="23229"/>
    <n v="22331"/>
    <n v="70"/>
    <s v="#MyntraSale"/>
    <s v="#StyleWithMyntra"/>
    <x v="1"/>
    <m/>
    <m/>
    <m/>
  </r>
  <r>
    <s v="P300"/>
    <s v="Twitter"/>
    <d v="2024-08-31T00:00:00"/>
    <s v="Carousel"/>
    <s v="Explore the latest carousel on Myntra! Trendy styles await."/>
    <n v="4494"/>
    <n v="717"/>
    <n v="45"/>
    <n v="5256"/>
    <n v="8.3539958039290485E-2"/>
    <n v="62916"/>
    <n v="62688"/>
    <n v="191"/>
    <s v="#MyntraFashion"/>
    <m/>
    <x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6589BF-CC48-4BF1-BA88-6139E029B087}" name="PivotTable81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W142:X147" firstHeaderRow="1" firstDataRow="1" firstDataCol="1"/>
  <pivotFields count="20">
    <pivotField showAll="0"/>
    <pivotField showAll="0"/>
    <pivotField numFmtId="14" showAll="0"/>
    <pivotField showAll="0"/>
    <pivotField showAll="0"/>
    <pivotField numFmtId="164" showAll="0"/>
    <pivotField numFmtId="164" showAll="0"/>
    <pivotField numFmtId="164" showAll="0"/>
    <pivotField numFmtId="164" showAll="0"/>
    <pivotField numFmtId="10" showAll="0"/>
    <pivotField numFmtId="164" showAll="0"/>
    <pivotField numFmtId="164" showAll="0"/>
    <pivotField numFmtId="164" showAll="0"/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showAll="0"/>
    <pivotField dataField="1" showAll="0"/>
    <pivotField showAll="0"/>
    <pivotField dragToRow="0" dragToCol="0" dragToPage="0" showAll="0" defaultSubtotal="0"/>
  </pivotFields>
  <rowFields count="1">
    <field x="1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Net_Growth" fld="1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13717E-7F11-4429-9E88-8DB84F5EC22A}" name="PivotTable80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W113:Y118" firstHeaderRow="0" firstDataRow="1" firstDataCol="1"/>
  <pivotFields count="20">
    <pivotField showAll="0"/>
    <pivotField showAll="0"/>
    <pivotField numFmtId="14" showAll="0"/>
    <pivotField showAll="0"/>
    <pivotField showAll="0"/>
    <pivotField numFmtId="164" showAll="0"/>
    <pivotField numFmtId="164" showAll="0"/>
    <pivotField numFmtId="164" showAll="0"/>
    <pivotField numFmtId="164" showAll="0"/>
    <pivotField numFmtId="10" showAll="0"/>
    <pivotField numFmtId="164" showAll="0"/>
    <pivotField numFmtId="164" showAll="0"/>
    <pivotField numFmtId="164" showAll="0"/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dataField="1" showAll="0"/>
    <pivotField showAll="0"/>
    <pivotField showAll="0"/>
    <pivotField dataField="1" dragToRow="0" dragToCol="0" dragToPage="0" showAll="0" defaultSubtotal="0"/>
  </pivotFields>
  <rowFields count="1">
    <field x="15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d_Spend" fld="16" baseField="0" baseItem="0"/>
    <dataField name="Sum of Field1" fld="19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C5C441-6BEF-4A2F-824E-9B2045B36659}" name="PivotTable79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V67:AB72" firstHeaderRow="0" firstDataRow="1" firstDataCol="1"/>
  <pivotFields count="4">
    <pivotField axis="axisRow" showAll="0">
      <items count="5">
        <item x="0"/>
        <item x="1"/>
        <item x="2"/>
        <item x="3"/>
        <item t="default"/>
      </items>
    </pivotField>
    <pivotField dataField="1" showAll="0"/>
    <pivotField dataField="1" showAll="0"/>
    <pivotField dataField="1" numFmtId="9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um of during campign" fld="1" baseField="0" baseItem="0"/>
    <dataField name="Sum of Before campign" fld="2" baseField="0" baseItem="0"/>
    <dataField name="Sum of uplift" fld="3" baseField="0" baseItem="0" numFmtId="9"/>
    <dataField name="Average of during campign2" fld="1" subtotal="average" baseField="0" baseItem="1"/>
    <dataField name="Average of Before campign2" fld="2" subtotal="average" baseField="0" baseItem="1"/>
    <dataField name="Average of uplift2" fld="3" subtotal="average" baseField="0" baseItem="1" numFmtId="9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441CE0-68BA-4BF3-805D-411DB4122AF3}" name="PivotTable78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W25:AC30" firstHeaderRow="0" firstDataRow="1" firstDataCol="1"/>
  <pivotFields count="18">
    <pivotField showAll="0"/>
    <pivotField showAll="0"/>
    <pivotField numFmtId="14" showAll="0"/>
    <pivotField showAll="0"/>
    <pivotField showAll="0"/>
    <pivotField dataField="1" numFmtId="164" showAll="0"/>
    <pivotField numFmtId="164" showAll="0"/>
    <pivotField numFmtId="164" showAll="0"/>
    <pivotField numFmtId="164" showAll="0"/>
    <pivotField numFmtId="10" showAll="0"/>
    <pivotField dataField="1" numFmtId="164" showAll="0"/>
    <pivotField numFmtId="164" showAll="0"/>
    <pivotField dataField="1" numFmtId="164" showAll="0"/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showAll="0"/>
    <pivotField showAll="0"/>
  </pivotFields>
  <rowFields count="1">
    <field x="15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um of Clicks" fld="12" baseField="0" baseItem="0" numFmtId="164"/>
    <dataField name="Sum of Impressions" fld="10" baseField="0" baseItem="0" numFmtId="164"/>
    <dataField name="Sum of Likes" fld="5" baseField="0" baseItem="0" numFmtId="164"/>
    <dataField name="Average of Clicks2" fld="12" subtotal="average" baseField="15" baseItem="3" numFmtId="164"/>
    <dataField name="Average of Impressions2" fld="10" subtotal="average" baseField="15" baseItem="3" numFmtId="164"/>
    <dataField name="Average of Likes2" fld="5" subtotal="average" baseField="15" baseItem="3" numFmtId="164"/>
  </dataFields>
  <formats count="4">
    <format dxfId="3">
      <pivotArea type="all" dataOnly="0" outline="0" fieldPosition="0"/>
    </format>
    <format dxfId="2">
      <pivotArea outline="0" collapsedLevelsAreSubtotals="1" fieldPosition="0"/>
    </format>
    <format dxfId="1">
      <pivotArea field="15" type="button" dataOnly="0" labelOnly="1" outline="0" axis="axisRow" fieldPosition="0"/>
    </format>
    <format dxfId="0">
      <pivotArea dataOnly="0" labelOnly="1" grandRow="1" outline="0" fieldPosition="0"/>
    </format>
  </formats>
  <chartFormats count="6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7C21E2-E23A-4002-9FFB-9AA02BD5BFEB}" name="PivotTable72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M10:O27" firstHeaderRow="1" firstDataRow="1" firstDataCol="0"/>
  <pivotFields count="10">
    <pivotField numFmtId="14" showAll="0"/>
    <pivotField showAll="0"/>
    <pivotField numFmtId="164" showAll="0"/>
    <pivotField numFmtId="164" showAll="0"/>
    <pivotField numFmtId="164" showAll="0"/>
    <pivotField numFmtId="10" showAll="0"/>
    <pivotField numFmtId="164" showAll="0"/>
    <pivotField showAll="0"/>
    <pivotField numFmtId="165"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00"/>
  <sheetViews>
    <sheetView workbookViewId="0">
      <selection sqref="A1:A5"/>
    </sheetView>
  </sheetViews>
  <sheetFormatPr defaultColWidth="14.44140625" defaultRowHeight="15" customHeight="1" x14ac:dyDescent="0.3"/>
  <cols>
    <col min="1" max="1" width="19.109375" customWidth="1"/>
    <col min="2" max="2" width="15.5546875" customWidth="1"/>
    <col min="3" max="3" width="28.5546875" customWidth="1"/>
    <col min="4" max="26" width="8.6640625" customWidth="1"/>
  </cols>
  <sheetData>
    <row r="1" spans="1:6" ht="14.25" customHeight="1" x14ac:dyDescent="0.3">
      <c r="A1" s="4" t="s">
        <v>12</v>
      </c>
      <c r="B1" s="5" t="s">
        <v>344</v>
      </c>
      <c r="C1" s="5" t="s">
        <v>345</v>
      </c>
      <c r="D1" s="4" t="s">
        <v>346</v>
      </c>
      <c r="E1" s="6" t="s">
        <v>347</v>
      </c>
      <c r="F1" s="4" t="s">
        <v>348</v>
      </c>
    </row>
    <row r="2" spans="1:6" ht="14.25" customHeight="1" x14ac:dyDescent="0.3">
      <c r="A2" s="4" t="s">
        <v>23</v>
      </c>
      <c r="B2" s="5">
        <v>45453</v>
      </c>
      <c r="C2" s="5">
        <v>45478</v>
      </c>
      <c r="D2" s="4" t="s">
        <v>349</v>
      </c>
      <c r="E2" s="6">
        <v>180000</v>
      </c>
      <c r="F2" s="4" t="s">
        <v>350</v>
      </c>
    </row>
    <row r="3" spans="1:6" ht="14.25" customHeight="1" x14ac:dyDescent="0.3">
      <c r="A3" s="4" t="s">
        <v>18</v>
      </c>
      <c r="B3" s="5">
        <v>45505</v>
      </c>
      <c r="C3" s="5">
        <v>45535</v>
      </c>
      <c r="D3" s="4" t="s">
        <v>351</v>
      </c>
      <c r="E3" s="6">
        <v>160000</v>
      </c>
      <c r="F3" s="4" t="s">
        <v>352</v>
      </c>
    </row>
    <row r="4" spans="1:6" ht="14.25" customHeight="1" x14ac:dyDescent="0.3">
      <c r="A4" s="4" t="s">
        <v>31</v>
      </c>
      <c r="B4" s="5">
        <v>45570</v>
      </c>
      <c r="C4" s="5">
        <v>45601</v>
      </c>
      <c r="D4" s="4" t="s">
        <v>353</v>
      </c>
      <c r="E4" s="6">
        <v>220000</v>
      </c>
      <c r="F4" s="4" t="s">
        <v>354</v>
      </c>
    </row>
    <row r="5" spans="1:6" ht="14.25" customHeight="1" x14ac:dyDescent="0.3">
      <c r="A5" s="7" t="s">
        <v>43</v>
      </c>
      <c r="B5" s="8">
        <v>45667</v>
      </c>
      <c r="C5" s="8">
        <v>45698</v>
      </c>
      <c r="D5" s="7" t="s">
        <v>355</v>
      </c>
      <c r="E5" s="9">
        <v>200000</v>
      </c>
      <c r="F5" s="10" t="s">
        <v>356</v>
      </c>
    </row>
    <row r="6" spans="1:6" ht="14.25" customHeight="1" x14ac:dyDescent="0.3"/>
    <row r="7" spans="1:6" ht="14.25" customHeight="1" x14ac:dyDescent="0.3"/>
    <row r="8" spans="1:6" ht="14.25" customHeight="1" x14ac:dyDescent="0.3"/>
    <row r="9" spans="1:6" ht="14.25" customHeight="1" x14ac:dyDescent="0.3"/>
    <row r="10" spans="1:6" ht="14.25" customHeight="1" x14ac:dyDescent="0.3"/>
    <row r="11" spans="1:6" ht="14.25" customHeight="1" x14ac:dyDescent="0.3"/>
    <row r="12" spans="1:6" ht="14.25" customHeight="1" x14ac:dyDescent="0.3"/>
    <row r="13" spans="1:6" ht="14.25" customHeight="1" x14ac:dyDescent="0.3"/>
    <row r="14" spans="1:6" ht="14.25" customHeight="1" x14ac:dyDescent="0.3"/>
    <row r="15" spans="1:6" ht="14.25" customHeight="1" x14ac:dyDescent="0.3"/>
    <row r="16" spans="1:6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000"/>
  <sheetViews>
    <sheetView tabSelected="1" topLeftCell="W130" zoomScale="98" zoomScaleNormal="10" workbookViewId="0">
      <selection activeCell="AC133" sqref="AC133"/>
    </sheetView>
  </sheetViews>
  <sheetFormatPr defaultColWidth="14.44140625" defaultRowHeight="15" customHeight="1" x14ac:dyDescent="0.3"/>
  <cols>
    <col min="1" max="1" width="8.6640625" customWidth="1"/>
    <col min="2" max="2" width="12.77734375" bestFit="1" customWidth="1"/>
    <col min="3" max="3" width="14" style="13" bestFit="1" customWidth="1"/>
    <col min="4" max="4" width="16.77734375" bestFit="1" customWidth="1"/>
    <col min="5" max="5" width="49.6640625" bestFit="1" customWidth="1"/>
    <col min="6" max="6" width="8.6640625" style="16" customWidth="1"/>
    <col min="7" max="7" width="11.88671875" style="16" bestFit="1" customWidth="1"/>
    <col min="8" max="8" width="15.44140625" style="16" bestFit="1" customWidth="1"/>
    <col min="9" max="9" width="16.88671875" style="16" bestFit="1" customWidth="1"/>
    <col min="10" max="10" width="15.44140625" style="16" customWidth="1"/>
    <col min="11" max="11" width="16.44140625" style="16" bestFit="1" customWidth="1"/>
    <col min="12" max="12" width="11.5546875" style="16" bestFit="1" customWidth="1"/>
    <col min="13" max="13" width="11.109375" style="16" bestFit="1" customWidth="1"/>
    <col min="14" max="14" width="29.77734375" bestFit="1" customWidth="1"/>
    <col min="15" max="15" width="29.77734375" customWidth="1"/>
    <col min="16" max="16" width="20" bestFit="1" customWidth="1"/>
    <col min="17" max="17" width="12.77734375" style="21" bestFit="1" customWidth="1"/>
    <col min="18" max="18" width="11.21875" bestFit="1" customWidth="1"/>
    <col min="19" max="19" width="8.6640625" customWidth="1"/>
    <col min="20" max="20" width="14.21875" bestFit="1" customWidth="1"/>
    <col min="21" max="21" width="19.77734375" bestFit="1" customWidth="1"/>
    <col min="22" max="23" width="16.6640625" bestFit="1" customWidth="1"/>
    <col min="24" max="24" width="18.109375" bestFit="1" customWidth="1"/>
    <col min="25" max="25" width="18.77734375" bestFit="1" customWidth="1"/>
    <col min="26" max="26" width="12.44140625" bestFit="1" customWidth="1"/>
    <col min="27" max="27" width="25.21875" bestFit="1" customWidth="1"/>
    <col min="28" max="28" width="16.109375" bestFit="1" customWidth="1"/>
    <col min="29" max="29" width="15.77734375" bestFit="1" customWidth="1"/>
  </cols>
  <sheetData>
    <row r="1" spans="1:31" ht="14.25" customHeight="1" thickBot="1" x14ac:dyDescent="0.35">
      <c r="A1" s="1" t="s">
        <v>0</v>
      </c>
      <c r="B1" s="1" t="s">
        <v>1</v>
      </c>
      <c r="C1" s="11" t="s">
        <v>2</v>
      </c>
      <c r="D1" s="1" t="s">
        <v>3</v>
      </c>
      <c r="E1" s="1" t="s">
        <v>4</v>
      </c>
      <c r="F1" s="14" t="s">
        <v>5</v>
      </c>
      <c r="G1" s="14" t="s">
        <v>6</v>
      </c>
      <c r="H1" s="14" t="s">
        <v>7</v>
      </c>
      <c r="I1" s="14" t="s">
        <v>358</v>
      </c>
      <c r="J1" s="14" t="s">
        <v>359</v>
      </c>
      <c r="K1" s="14" t="s">
        <v>8</v>
      </c>
      <c r="L1" s="14" t="s">
        <v>9</v>
      </c>
      <c r="M1" s="14" t="s">
        <v>10</v>
      </c>
      <c r="N1" s="1" t="s">
        <v>11</v>
      </c>
      <c r="O1" s="1" t="s">
        <v>357</v>
      </c>
      <c r="P1" s="1" t="s">
        <v>12</v>
      </c>
      <c r="Q1" s="20" t="s">
        <v>343</v>
      </c>
      <c r="R1" t="s">
        <v>362</v>
      </c>
      <c r="S1" s="36" t="s">
        <v>371</v>
      </c>
      <c r="T1" s="4" t="s">
        <v>12</v>
      </c>
      <c r="U1" s="36" t="s">
        <v>372</v>
      </c>
      <c r="V1" s="36" t="s">
        <v>373</v>
      </c>
      <c r="W1" s="36" t="s">
        <v>374</v>
      </c>
    </row>
    <row r="2" spans="1:31" ht="14.25" customHeight="1" thickBot="1" x14ac:dyDescent="0.35">
      <c r="A2" s="2" t="s">
        <v>13</v>
      </c>
      <c r="B2" s="2" t="s">
        <v>14</v>
      </c>
      <c r="C2" s="12">
        <v>45649</v>
      </c>
      <c r="D2" s="2" t="s">
        <v>15</v>
      </c>
      <c r="E2" s="2" t="s">
        <v>16</v>
      </c>
      <c r="F2" s="15">
        <v>1461</v>
      </c>
      <c r="G2" s="15">
        <v>184</v>
      </c>
      <c r="H2" s="15">
        <v>344</v>
      </c>
      <c r="I2" s="15">
        <f>SUM(F2+G2+H2)</f>
        <v>1989</v>
      </c>
      <c r="J2" s="17">
        <f>(F2+G2+H2)/K2</f>
        <v>9.0759753593429152E-2</v>
      </c>
      <c r="K2" s="15">
        <v>21915</v>
      </c>
      <c r="L2" s="15">
        <v>21675</v>
      </c>
      <c r="M2" s="15">
        <v>15</v>
      </c>
      <c r="N2" s="2" t="s">
        <v>17</v>
      </c>
      <c r="O2" s="2"/>
      <c r="P2" s="2" t="s">
        <v>18</v>
      </c>
      <c r="Q2" s="20">
        <v>5904</v>
      </c>
      <c r="R2">
        <v>1047</v>
      </c>
      <c r="S2" s="38">
        <f>I2/Q2</f>
        <v>0.33689024390243905</v>
      </c>
      <c r="T2" s="4" t="s">
        <v>23</v>
      </c>
      <c r="U2" s="16">
        <v>20185</v>
      </c>
      <c r="V2">
        <v>18337</v>
      </c>
      <c r="W2" s="37">
        <f>SUM(U2-V2)/V2</f>
        <v>0.10077984403119376</v>
      </c>
    </row>
    <row r="3" spans="1:31" ht="14.25" customHeight="1" thickBot="1" x14ac:dyDescent="0.35">
      <c r="A3" s="2" t="s">
        <v>19</v>
      </c>
      <c r="B3" s="2" t="s">
        <v>14</v>
      </c>
      <c r="C3" s="12">
        <v>45750</v>
      </c>
      <c r="D3" s="2" t="s">
        <v>20</v>
      </c>
      <c r="E3" s="2" t="s">
        <v>21</v>
      </c>
      <c r="F3" s="15">
        <v>4054</v>
      </c>
      <c r="G3" s="15">
        <v>389</v>
      </c>
      <c r="H3" s="15">
        <v>493</v>
      </c>
      <c r="I3" s="15">
        <f t="shared" ref="I3:I66" si="0">SUM(F3+G3+H3)</f>
        <v>4936</v>
      </c>
      <c r="J3" s="17">
        <f t="shared" ref="J3:J66" si="1">(F3+G3+H3)/K3</f>
        <v>7.6097681302417369E-2</v>
      </c>
      <c r="K3" s="15">
        <v>64864</v>
      </c>
      <c r="L3" s="15">
        <v>64383</v>
      </c>
      <c r="M3" s="15">
        <v>117</v>
      </c>
      <c r="N3" s="2" t="s">
        <v>22</v>
      </c>
      <c r="O3" s="2"/>
      <c r="P3" s="2" t="s">
        <v>23</v>
      </c>
      <c r="Q3" s="20">
        <v>9566</v>
      </c>
      <c r="R3">
        <v>1002</v>
      </c>
      <c r="S3" s="38">
        <f>I3/Q3</f>
        <v>0.51599414593351456</v>
      </c>
      <c r="T3" s="4" t="s">
        <v>18</v>
      </c>
      <c r="U3">
        <v>29029</v>
      </c>
      <c r="V3" s="16">
        <v>67773</v>
      </c>
      <c r="W3" s="37">
        <f>SUM(U3-V3)/V3</f>
        <v>-0.57167308515190418</v>
      </c>
    </row>
    <row r="4" spans="1:31" ht="14.25" customHeight="1" thickBot="1" x14ac:dyDescent="0.35">
      <c r="A4" s="2" t="s">
        <v>24</v>
      </c>
      <c r="B4" s="2" t="s">
        <v>25</v>
      </c>
      <c r="C4" s="12">
        <v>45789</v>
      </c>
      <c r="D4" s="2" t="s">
        <v>15</v>
      </c>
      <c r="E4" s="2" t="s">
        <v>16</v>
      </c>
      <c r="F4" s="15">
        <v>2795</v>
      </c>
      <c r="G4" s="15">
        <v>105</v>
      </c>
      <c r="H4" s="15">
        <v>49</v>
      </c>
      <c r="I4" s="15">
        <f t="shared" si="0"/>
        <v>2949</v>
      </c>
      <c r="J4" s="17">
        <f>(F4+G4+H4)/K4</f>
        <v>5.5531494209584788E-2</v>
      </c>
      <c r="K4" s="15">
        <v>53105</v>
      </c>
      <c r="L4" s="15">
        <v>52307</v>
      </c>
      <c r="M4" s="15">
        <v>204</v>
      </c>
      <c r="N4" s="2" t="s">
        <v>22</v>
      </c>
      <c r="O4" s="2" t="s">
        <v>17</v>
      </c>
      <c r="P4" s="2" t="s">
        <v>18</v>
      </c>
      <c r="Q4" s="20">
        <v>26752</v>
      </c>
      <c r="R4">
        <v>415</v>
      </c>
      <c r="S4" s="38">
        <f t="shared" ref="S4:S66" si="2">I4/Q4</f>
        <v>0.11023474880382775</v>
      </c>
      <c r="T4" s="4" t="s">
        <v>31</v>
      </c>
      <c r="U4">
        <v>25499</v>
      </c>
      <c r="V4" s="16">
        <v>95022</v>
      </c>
      <c r="W4" s="37">
        <f>SUM(U4-V4)/V4</f>
        <v>-0.73165161752015317</v>
      </c>
    </row>
    <row r="5" spans="1:31" ht="14.25" customHeight="1" thickBot="1" x14ac:dyDescent="0.35">
      <c r="A5" s="2" t="s">
        <v>26</v>
      </c>
      <c r="B5" s="2" t="s">
        <v>27</v>
      </c>
      <c r="C5" s="12">
        <v>45516</v>
      </c>
      <c r="D5" s="2" t="s">
        <v>28</v>
      </c>
      <c r="E5" s="2" t="s">
        <v>29</v>
      </c>
      <c r="F5" s="15">
        <v>2404</v>
      </c>
      <c r="G5" s="15">
        <v>363</v>
      </c>
      <c r="H5" s="15">
        <v>138</v>
      </c>
      <c r="I5" s="15">
        <f t="shared" si="0"/>
        <v>2905</v>
      </c>
      <c r="J5" s="17">
        <f t="shared" si="1"/>
        <v>0.15105033277870217</v>
      </c>
      <c r="K5" s="15">
        <v>19232</v>
      </c>
      <c r="L5" s="15">
        <v>18636</v>
      </c>
      <c r="M5" s="15">
        <v>128</v>
      </c>
      <c r="N5" s="2" t="s">
        <v>17</v>
      </c>
      <c r="O5" s="2"/>
      <c r="P5" s="2" t="s">
        <v>18</v>
      </c>
      <c r="Q5" s="20">
        <v>30671</v>
      </c>
      <c r="R5">
        <v>1090</v>
      </c>
      <c r="S5" s="38">
        <f t="shared" si="2"/>
        <v>9.4714877245606593E-2</v>
      </c>
      <c r="T5" s="7" t="s">
        <v>43</v>
      </c>
      <c r="U5">
        <v>16716</v>
      </c>
      <c r="V5">
        <v>133833</v>
      </c>
      <c r="W5" s="37">
        <f>SUM(U5-V5)/V5</f>
        <v>-0.87509806998273965</v>
      </c>
    </row>
    <row r="6" spans="1:31" ht="14.25" customHeight="1" x14ac:dyDescent="0.3">
      <c r="A6" s="2" t="s">
        <v>30</v>
      </c>
      <c r="B6" s="2" t="s">
        <v>25</v>
      </c>
      <c r="C6" s="12">
        <v>45469</v>
      </c>
      <c r="D6" s="2" t="s">
        <v>15</v>
      </c>
      <c r="E6" s="2" t="s">
        <v>16</v>
      </c>
      <c r="F6" s="15">
        <v>3557</v>
      </c>
      <c r="G6" s="15">
        <v>687</v>
      </c>
      <c r="H6" s="15">
        <v>424</v>
      </c>
      <c r="I6" s="15">
        <f t="shared" si="0"/>
        <v>4668</v>
      </c>
      <c r="J6" s="17">
        <f t="shared" si="1"/>
        <v>6.5617093055946027E-2</v>
      </c>
      <c r="K6" s="15">
        <v>71140</v>
      </c>
      <c r="L6" s="15">
        <v>70701</v>
      </c>
      <c r="M6" s="15">
        <v>224</v>
      </c>
      <c r="N6" s="2" t="s">
        <v>45</v>
      </c>
      <c r="O6" s="2" t="s">
        <v>22</v>
      </c>
      <c r="P6" s="2" t="s">
        <v>31</v>
      </c>
      <c r="Q6" s="20">
        <v>9920</v>
      </c>
      <c r="R6">
        <v>517</v>
      </c>
      <c r="S6" s="38">
        <f t="shared" si="2"/>
        <v>0.47056451612903227</v>
      </c>
      <c r="V6" s="39"/>
    </row>
    <row r="7" spans="1:31" ht="14.25" customHeight="1" x14ac:dyDescent="0.3">
      <c r="A7" s="2" t="s">
        <v>32</v>
      </c>
      <c r="B7" s="2" t="s">
        <v>33</v>
      </c>
      <c r="C7" s="12">
        <v>45596</v>
      </c>
      <c r="D7" s="2" t="s">
        <v>34</v>
      </c>
      <c r="E7" s="2" t="s">
        <v>35</v>
      </c>
      <c r="F7" s="15">
        <v>2945</v>
      </c>
      <c r="G7" s="15">
        <v>930</v>
      </c>
      <c r="H7" s="15">
        <v>355</v>
      </c>
      <c r="I7" s="15">
        <f t="shared" si="0"/>
        <v>4230</v>
      </c>
      <c r="J7" s="17">
        <f t="shared" si="1"/>
        <v>0.17954159592529711</v>
      </c>
      <c r="K7" s="15">
        <v>23560</v>
      </c>
      <c r="L7" s="15">
        <v>23275</v>
      </c>
      <c r="M7" s="15">
        <v>256</v>
      </c>
      <c r="N7" s="2" t="s">
        <v>36</v>
      </c>
      <c r="O7" s="2"/>
      <c r="P7" s="2" t="s">
        <v>23</v>
      </c>
      <c r="Q7" s="20">
        <v>7924</v>
      </c>
      <c r="R7">
        <v>1283</v>
      </c>
      <c r="S7" s="38">
        <f t="shared" si="2"/>
        <v>0.53382130237253911</v>
      </c>
      <c r="V7" s="39"/>
    </row>
    <row r="8" spans="1:31" ht="14.25" customHeight="1" x14ac:dyDescent="0.3">
      <c r="A8" s="2" t="s">
        <v>37</v>
      </c>
      <c r="B8" s="2" t="s">
        <v>14</v>
      </c>
      <c r="C8" s="12">
        <v>45467</v>
      </c>
      <c r="D8" s="2" t="s">
        <v>34</v>
      </c>
      <c r="E8" s="2" t="s">
        <v>35</v>
      </c>
      <c r="F8" s="15">
        <v>3860</v>
      </c>
      <c r="G8" s="15">
        <v>201</v>
      </c>
      <c r="H8" s="15">
        <v>279</v>
      </c>
      <c r="I8" s="15">
        <f t="shared" si="0"/>
        <v>4340</v>
      </c>
      <c r="J8" s="17">
        <f t="shared" si="1"/>
        <v>7.0272020725388601E-2</v>
      </c>
      <c r="K8" s="15">
        <v>61760</v>
      </c>
      <c r="L8" s="15">
        <v>61660</v>
      </c>
      <c r="M8" s="15">
        <v>235</v>
      </c>
      <c r="N8" s="2" t="s">
        <v>36</v>
      </c>
      <c r="O8" s="2"/>
      <c r="P8" s="2" t="s">
        <v>31</v>
      </c>
      <c r="Q8" s="20">
        <v>8912</v>
      </c>
      <c r="R8">
        <v>186</v>
      </c>
      <c r="S8" s="38">
        <f t="shared" si="2"/>
        <v>0.48698384201077199</v>
      </c>
      <c r="V8" s="39"/>
    </row>
    <row r="9" spans="1:31" ht="14.25" customHeight="1" x14ac:dyDescent="0.3">
      <c r="A9" s="2" t="s">
        <v>38</v>
      </c>
      <c r="B9" s="2" t="s">
        <v>25</v>
      </c>
      <c r="C9" s="12">
        <v>45486</v>
      </c>
      <c r="D9" s="2" t="s">
        <v>39</v>
      </c>
      <c r="E9" s="2" t="s">
        <v>40</v>
      </c>
      <c r="F9" s="15">
        <v>3929</v>
      </c>
      <c r="G9" s="15">
        <v>262</v>
      </c>
      <c r="H9" s="15">
        <v>278</v>
      </c>
      <c r="I9" s="15">
        <f t="shared" si="0"/>
        <v>4469</v>
      </c>
      <c r="J9" s="17">
        <f t="shared" si="1"/>
        <v>0.10340359564080613</v>
      </c>
      <c r="K9" s="15">
        <v>43219</v>
      </c>
      <c r="L9" s="15">
        <v>42841</v>
      </c>
      <c r="M9" s="15">
        <v>39</v>
      </c>
      <c r="N9" s="2" t="s">
        <v>22</v>
      </c>
      <c r="O9" s="2" t="s">
        <v>17</v>
      </c>
      <c r="P9" s="2" t="s">
        <v>31</v>
      </c>
      <c r="Q9" s="20">
        <v>21205</v>
      </c>
      <c r="R9">
        <v>994</v>
      </c>
      <c r="S9" s="38">
        <f t="shared" si="2"/>
        <v>0.21075218108936572</v>
      </c>
      <c r="V9" s="39"/>
    </row>
    <row r="10" spans="1:31" ht="14.25" customHeight="1" x14ac:dyDescent="0.3">
      <c r="A10" s="2" t="s">
        <v>41</v>
      </c>
      <c r="B10" s="2" t="s">
        <v>33</v>
      </c>
      <c r="C10" s="12">
        <v>45534</v>
      </c>
      <c r="D10" s="2" t="s">
        <v>20</v>
      </c>
      <c r="E10" s="2" t="s">
        <v>21</v>
      </c>
      <c r="F10" s="15">
        <v>3784</v>
      </c>
      <c r="G10" s="15">
        <v>808</v>
      </c>
      <c r="H10" s="15">
        <v>404</v>
      </c>
      <c r="I10" s="15">
        <f t="shared" si="0"/>
        <v>4996</v>
      </c>
      <c r="J10" s="17">
        <f t="shared" si="1"/>
        <v>8.8019732205778717E-2</v>
      </c>
      <c r="K10" s="15">
        <v>56760</v>
      </c>
      <c r="L10" s="15">
        <v>56343</v>
      </c>
      <c r="M10" s="15">
        <v>131</v>
      </c>
      <c r="N10" s="2" t="s">
        <v>22</v>
      </c>
      <c r="O10" s="2" t="s">
        <v>17</v>
      </c>
      <c r="P10" s="2" t="s">
        <v>31</v>
      </c>
      <c r="Q10" s="20">
        <v>11329</v>
      </c>
      <c r="R10">
        <v>893</v>
      </c>
      <c r="S10" s="38">
        <f t="shared" si="2"/>
        <v>0.44099214405507986</v>
      </c>
      <c r="V10" s="39"/>
    </row>
    <row r="11" spans="1:31" ht="25.8" x14ac:dyDescent="0.5">
      <c r="A11" s="2" t="s">
        <v>42</v>
      </c>
      <c r="B11" s="2" t="s">
        <v>33</v>
      </c>
      <c r="C11" s="12">
        <v>45727</v>
      </c>
      <c r="D11" s="2" t="s">
        <v>39</v>
      </c>
      <c r="E11" s="2" t="s">
        <v>40</v>
      </c>
      <c r="F11" s="15">
        <v>4241</v>
      </c>
      <c r="G11" s="15">
        <v>902</v>
      </c>
      <c r="H11" s="15">
        <v>47</v>
      </c>
      <c r="I11" s="15">
        <f t="shared" si="0"/>
        <v>5190</v>
      </c>
      <c r="J11" s="17">
        <f t="shared" si="1"/>
        <v>7.198635172059864E-2</v>
      </c>
      <c r="K11" s="15">
        <v>72097</v>
      </c>
      <c r="L11" s="15">
        <v>71598</v>
      </c>
      <c r="M11" s="15">
        <v>167</v>
      </c>
      <c r="N11" s="2" t="s">
        <v>36</v>
      </c>
      <c r="O11" s="2"/>
      <c r="P11" s="2" t="s">
        <v>43</v>
      </c>
      <c r="Q11" s="20">
        <v>46670</v>
      </c>
      <c r="R11">
        <v>1382</v>
      </c>
      <c r="S11" s="38">
        <f t="shared" si="2"/>
        <v>0.11120634240411399</v>
      </c>
      <c r="V11" s="39"/>
      <c r="AA11" s="41" t="s">
        <v>383</v>
      </c>
      <c r="AB11" s="42"/>
      <c r="AC11" s="42"/>
      <c r="AD11" s="42"/>
      <c r="AE11" s="42"/>
    </row>
    <row r="12" spans="1:31" ht="14.25" customHeight="1" x14ac:dyDescent="0.3">
      <c r="A12" s="2" t="s">
        <v>44</v>
      </c>
      <c r="B12" s="2" t="s">
        <v>27</v>
      </c>
      <c r="C12" s="12">
        <v>45690</v>
      </c>
      <c r="D12" s="2" t="s">
        <v>28</v>
      </c>
      <c r="E12" s="2" t="s">
        <v>29</v>
      </c>
      <c r="F12" s="15">
        <v>1792</v>
      </c>
      <c r="G12" s="15">
        <v>614</v>
      </c>
      <c r="H12" s="15">
        <v>497</v>
      </c>
      <c r="I12" s="15">
        <f t="shared" si="0"/>
        <v>2903</v>
      </c>
      <c r="J12" s="17">
        <f t="shared" si="1"/>
        <v>0.11571269132653061</v>
      </c>
      <c r="K12" s="15">
        <v>25088</v>
      </c>
      <c r="L12" s="15">
        <v>24675</v>
      </c>
      <c r="M12" s="15">
        <v>65</v>
      </c>
      <c r="N12" s="2" t="s">
        <v>45</v>
      </c>
      <c r="O12" s="2"/>
      <c r="P12" s="2" t="s">
        <v>18</v>
      </c>
      <c r="Q12" s="20">
        <v>22482</v>
      </c>
      <c r="R12">
        <v>1295</v>
      </c>
      <c r="S12" s="38">
        <f t="shared" si="2"/>
        <v>0.1291255226403345</v>
      </c>
      <c r="V12" s="39"/>
    </row>
    <row r="13" spans="1:31" ht="14.25" customHeight="1" x14ac:dyDescent="0.3">
      <c r="A13" s="2" t="s">
        <v>46</v>
      </c>
      <c r="B13" s="2" t="s">
        <v>33</v>
      </c>
      <c r="C13" s="12">
        <v>45494</v>
      </c>
      <c r="D13" s="2" t="s">
        <v>15</v>
      </c>
      <c r="E13" s="2" t="s">
        <v>16</v>
      </c>
      <c r="F13" s="15">
        <v>1946</v>
      </c>
      <c r="G13" s="15">
        <v>686</v>
      </c>
      <c r="H13" s="15">
        <v>377</v>
      </c>
      <c r="I13" s="15">
        <f t="shared" si="0"/>
        <v>3009</v>
      </c>
      <c r="J13" s="17">
        <f t="shared" si="1"/>
        <v>0.12885405960945528</v>
      </c>
      <c r="K13" s="15">
        <v>23352</v>
      </c>
      <c r="L13" s="15">
        <v>22982</v>
      </c>
      <c r="M13" s="15">
        <v>213</v>
      </c>
      <c r="N13" s="2" t="s">
        <v>45</v>
      </c>
      <c r="O13" s="2" t="s">
        <v>17</v>
      </c>
      <c r="P13" s="2" t="s">
        <v>31</v>
      </c>
      <c r="Q13" s="20">
        <v>24313</v>
      </c>
      <c r="R13">
        <v>337</v>
      </c>
      <c r="S13" s="38">
        <f t="shared" si="2"/>
        <v>0.12376095093160037</v>
      </c>
      <c r="V13" s="39"/>
    </row>
    <row r="14" spans="1:31" ht="14.25" customHeight="1" x14ac:dyDescent="0.3">
      <c r="A14" s="2" t="s">
        <v>47</v>
      </c>
      <c r="B14" s="2" t="s">
        <v>25</v>
      </c>
      <c r="C14" s="12">
        <v>45614</v>
      </c>
      <c r="D14" s="2" t="s">
        <v>34</v>
      </c>
      <c r="E14" s="2" t="s">
        <v>35</v>
      </c>
      <c r="F14" s="15">
        <v>1171</v>
      </c>
      <c r="G14" s="15">
        <v>286</v>
      </c>
      <c r="H14" s="15">
        <v>231</v>
      </c>
      <c r="I14" s="15">
        <f t="shared" si="0"/>
        <v>1688</v>
      </c>
      <c r="J14" s="17">
        <f t="shared" si="1"/>
        <v>7.5868578363072495E-2</v>
      </c>
      <c r="K14" s="15">
        <v>22249</v>
      </c>
      <c r="L14" s="15">
        <v>21282</v>
      </c>
      <c r="M14" s="15">
        <v>114</v>
      </c>
      <c r="N14" s="2" t="s">
        <v>22</v>
      </c>
      <c r="O14" s="2"/>
      <c r="P14" s="2" t="s">
        <v>43</v>
      </c>
      <c r="Q14" s="20">
        <v>18050</v>
      </c>
      <c r="R14">
        <v>629</v>
      </c>
      <c r="S14" s="38">
        <f t="shared" si="2"/>
        <v>9.3518005540166205E-2</v>
      </c>
      <c r="V14" s="39"/>
    </row>
    <row r="15" spans="1:31" ht="14.25" customHeight="1" x14ac:dyDescent="0.3">
      <c r="A15" s="2" t="s">
        <v>48</v>
      </c>
      <c r="B15" s="2" t="s">
        <v>33</v>
      </c>
      <c r="C15" s="12">
        <v>45704</v>
      </c>
      <c r="D15" s="2" t="s">
        <v>28</v>
      </c>
      <c r="E15" s="2" t="s">
        <v>29</v>
      </c>
      <c r="F15" s="15">
        <v>4242</v>
      </c>
      <c r="G15" s="15">
        <v>555</v>
      </c>
      <c r="H15" s="15">
        <v>131</v>
      </c>
      <c r="I15" s="15">
        <f t="shared" si="0"/>
        <v>4928</v>
      </c>
      <c r="J15" s="17">
        <f t="shared" si="1"/>
        <v>0.14521452145214522</v>
      </c>
      <c r="K15" s="15">
        <v>33936</v>
      </c>
      <c r="L15" s="15">
        <v>33802</v>
      </c>
      <c r="M15" s="15">
        <v>265</v>
      </c>
      <c r="N15" s="2" t="s">
        <v>17</v>
      </c>
      <c r="O15" s="2" t="s">
        <v>22</v>
      </c>
      <c r="P15" s="2" t="s">
        <v>31</v>
      </c>
      <c r="Q15" s="20">
        <v>30635</v>
      </c>
      <c r="R15">
        <v>1670</v>
      </c>
      <c r="S15" s="38">
        <f t="shared" si="2"/>
        <v>0.16086175942549372</v>
      </c>
      <c r="V15" s="39"/>
    </row>
    <row r="16" spans="1:31" ht="14.25" customHeight="1" x14ac:dyDescent="0.3">
      <c r="A16" s="2" t="s">
        <v>49</v>
      </c>
      <c r="B16" s="2" t="s">
        <v>33</v>
      </c>
      <c r="C16" s="12">
        <v>45589</v>
      </c>
      <c r="D16" s="2" t="s">
        <v>50</v>
      </c>
      <c r="E16" s="2" t="s">
        <v>51</v>
      </c>
      <c r="F16" s="15">
        <v>3888</v>
      </c>
      <c r="G16" s="15">
        <v>604</v>
      </c>
      <c r="H16" s="15">
        <v>128</v>
      </c>
      <c r="I16" s="15">
        <f t="shared" si="0"/>
        <v>4620</v>
      </c>
      <c r="J16" s="17">
        <f t="shared" si="1"/>
        <v>5.941358024691358E-2</v>
      </c>
      <c r="K16" s="15">
        <v>77760</v>
      </c>
      <c r="L16" s="15">
        <v>77167</v>
      </c>
      <c r="M16" s="15">
        <v>20</v>
      </c>
      <c r="N16" s="2" t="s">
        <v>22</v>
      </c>
      <c r="O16" s="2" t="s">
        <v>54</v>
      </c>
      <c r="P16" s="2" t="s">
        <v>18</v>
      </c>
      <c r="Q16" s="20">
        <v>31280</v>
      </c>
      <c r="R16">
        <v>835</v>
      </c>
      <c r="S16" s="38">
        <f t="shared" si="2"/>
        <v>0.14769820971867006</v>
      </c>
      <c r="V16" s="39"/>
    </row>
    <row r="17" spans="1:29" ht="14.25" customHeight="1" x14ac:dyDescent="0.3">
      <c r="A17" s="2" t="s">
        <v>52</v>
      </c>
      <c r="B17" s="2" t="s">
        <v>33</v>
      </c>
      <c r="C17" s="12">
        <v>45530</v>
      </c>
      <c r="D17" s="2" t="s">
        <v>20</v>
      </c>
      <c r="E17" s="2" t="s">
        <v>21</v>
      </c>
      <c r="F17" s="15">
        <v>3452</v>
      </c>
      <c r="G17" s="15">
        <v>377</v>
      </c>
      <c r="H17" s="15">
        <v>360</v>
      </c>
      <c r="I17" s="15">
        <f t="shared" si="0"/>
        <v>4189</v>
      </c>
      <c r="J17" s="17">
        <f t="shared" si="1"/>
        <v>7.5843713789107758E-2</v>
      </c>
      <c r="K17" s="15">
        <v>55232</v>
      </c>
      <c r="L17" s="15">
        <v>55075</v>
      </c>
      <c r="M17" s="15">
        <v>87</v>
      </c>
      <c r="N17" s="2" t="s">
        <v>17</v>
      </c>
      <c r="O17" s="2" t="s">
        <v>54</v>
      </c>
      <c r="P17" s="2" t="s">
        <v>31</v>
      </c>
      <c r="Q17" s="20">
        <v>1783</v>
      </c>
      <c r="R17">
        <v>-123</v>
      </c>
      <c r="S17" s="38">
        <f t="shared" si="2"/>
        <v>2.3494111048794166</v>
      </c>
      <c r="V17" s="39"/>
    </row>
    <row r="18" spans="1:29" ht="14.25" customHeight="1" x14ac:dyDescent="0.3">
      <c r="A18" s="2" t="s">
        <v>53</v>
      </c>
      <c r="B18" s="2" t="s">
        <v>33</v>
      </c>
      <c r="C18" s="12">
        <v>45782</v>
      </c>
      <c r="D18" s="2" t="s">
        <v>20</v>
      </c>
      <c r="E18" s="2" t="s">
        <v>21</v>
      </c>
      <c r="F18" s="15">
        <v>4441</v>
      </c>
      <c r="G18" s="15">
        <v>511</v>
      </c>
      <c r="H18" s="15">
        <v>70</v>
      </c>
      <c r="I18" s="15">
        <f t="shared" si="0"/>
        <v>5022</v>
      </c>
      <c r="J18" s="17">
        <f t="shared" si="1"/>
        <v>9.4235532537716729E-2</v>
      </c>
      <c r="K18" s="15">
        <v>53292</v>
      </c>
      <c r="L18" s="15">
        <v>53082</v>
      </c>
      <c r="M18" s="15">
        <v>159</v>
      </c>
      <c r="N18" s="2" t="s">
        <v>54</v>
      </c>
      <c r="O18" s="2"/>
      <c r="P18" s="2" t="s">
        <v>31</v>
      </c>
      <c r="Q18" s="20">
        <v>9566</v>
      </c>
      <c r="R18">
        <v>-219</v>
      </c>
      <c r="S18" s="38">
        <f t="shared" si="2"/>
        <v>0.52498431946477109</v>
      </c>
      <c r="V18" s="39"/>
    </row>
    <row r="19" spans="1:29" ht="14.25" customHeight="1" x14ac:dyDescent="0.3">
      <c r="A19" s="2" t="s">
        <v>55</v>
      </c>
      <c r="B19" s="2" t="s">
        <v>27</v>
      </c>
      <c r="C19" s="12">
        <v>45523</v>
      </c>
      <c r="D19" s="2" t="s">
        <v>15</v>
      </c>
      <c r="E19" s="2" t="s">
        <v>16</v>
      </c>
      <c r="F19" s="15">
        <v>3000</v>
      </c>
      <c r="G19" s="15">
        <v>382</v>
      </c>
      <c r="H19" s="15">
        <v>325</v>
      </c>
      <c r="I19" s="15">
        <f t="shared" si="0"/>
        <v>3707</v>
      </c>
      <c r="J19" s="17">
        <f t="shared" si="1"/>
        <v>0.10297222222222223</v>
      </c>
      <c r="K19" s="15">
        <v>36000</v>
      </c>
      <c r="L19" s="15">
        <v>35819</v>
      </c>
      <c r="M19" s="15">
        <v>19</v>
      </c>
      <c r="N19" s="2" t="s">
        <v>45</v>
      </c>
      <c r="O19" s="2"/>
      <c r="P19" s="2" t="s">
        <v>23</v>
      </c>
      <c r="Q19" s="20">
        <v>42307</v>
      </c>
      <c r="R19">
        <v>64</v>
      </c>
      <c r="S19" s="38">
        <f t="shared" si="2"/>
        <v>8.7621433805280452E-2</v>
      </c>
      <c r="V19" s="39"/>
    </row>
    <row r="20" spans="1:29" ht="14.25" customHeight="1" x14ac:dyDescent="0.3">
      <c r="A20" s="2" t="s">
        <v>56</v>
      </c>
      <c r="B20" s="2" t="s">
        <v>27</v>
      </c>
      <c r="C20" s="12">
        <v>45466</v>
      </c>
      <c r="D20" s="2" t="s">
        <v>50</v>
      </c>
      <c r="E20" s="2" t="s">
        <v>51</v>
      </c>
      <c r="F20" s="15">
        <v>1071</v>
      </c>
      <c r="G20" s="15">
        <v>519</v>
      </c>
      <c r="H20" s="15">
        <v>22</v>
      </c>
      <c r="I20" s="15">
        <f t="shared" si="0"/>
        <v>1612</v>
      </c>
      <c r="J20" s="17">
        <f t="shared" si="1"/>
        <v>0.10034235916588857</v>
      </c>
      <c r="K20" s="15">
        <v>16065</v>
      </c>
      <c r="L20" s="15">
        <v>15865</v>
      </c>
      <c r="M20" s="15">
        <v>103</v>
      </c>
      <c r="N20" s="2" t="s">
        <v>17</v>
      </c>
      <c r="O20" s="2" t="s">
        <v>45</v>
      </c>
      <c r="P20" s="2" t="s">
        <v>31</v>
      </c>
      <c r="Q20" s="20">
        <v>5914</v>
      </c>
      <c r="R20">
        <v>1357</v>
      </c>
      <c r="S20" s="38">
        <f t="shared" si="2"/>
        <v>0.27257355427798446</v>
      </c>
      <c r="V20" s="39"/>
    </row>
    <row r="21" spans="1:29" ht="14.25" customHeight="1" x14ac:dyDescent="0.3">
      <c r="A21" s="2" t="s">
        <v>57</v>
      </c>
      <c r="B21" s="2" t="s">
        <v>27</v>
      </c>
      <c r="C21" s="12">
        <v>45544</v>
      </c>
      <c r="D21" s="2" t="s">
        <v>34</v>
      </c>
      <c r="E21" s="2" t="s">
        <v>35</v>
      </c>
      <c r="F21" s="15">
        <v>4054</v>
      </c>
      <c r="G21" s="15">
        <v>488</v>
      </c>
      <c r="H21" s="15">
        <v>373</v>
      </c>
      <c r="I21" s="15">
        <f t="shared" si="0"/>
        <v>4915</v>
      </c>
      <c r="J21" s="17">
        <f t="shared" si="1"/>
        <v>6.3809622724794221E-2</v>
      </c>
      <c r="K21" s="15">
        <v>77026</v>
      </c>
      <c r="L21" s="15">
        <v>76881</v>
      </c>
      <c r="M21" s="15">
        <v>25</v>
      </c>
      <c r="N21" s="2" t="s">
        <v>22</v>
      </c>
      <c r="O21" s="2" t="s">
        <v>17</v>
      </c>
      <c r="P21" s="2" t="s">
        <v>31</v>
      </c>
      <c r="Q21" s="20">
        <v>30060</v>
      </c>
      <c r="R21">
        <v>91</v>
      </c>
      <c r="S21" s="38">
        <f t="shared" si="2"/>
        <v>0.16350632069194942</v>
      </c>
      <c r="V21" s="39"/>
    </row>
    <row r="22" spans="1:29" ht="14.25" customHeight="1" x14ac:dyDescent="0.3">
      <c r="A22" s="2" t="s">
        <v>58</v>
      </c>
      <c r="B22" s="2" t="s">
        <v>27</v>
      </c>
      <c r="C22" s="12">
        <v>45661</v>
      </c>
      <c r="D22" s="2" t="s">
        <v>15</v>
      </c>
      <c r="E22" s="2" t="s">
        <v>16</v>
      </c>
      <c r="F22" s="15">
        <v>4838</v>
      </c>
      <c r="G22" s="15">
        <v>640</v>
      </c>
      <c r="H22" s="15">
        <v>128</v>
      </c>
      <c r="I22" s="15">
        <f t="shared" si="0"/>
        <v>5606</v>
      </c>
      <c r="J22" s="17">
        <f t="shared" si="1"/>
        <v>7.7249552156538517E-2</v>
      </c>
      <c r="K22" s="15">
        <v>72570</v>
      </c>
      <c r="L22" s="15">
        <v>72396</v>
      </c>
      <c r="M22" s="15">
        <v>83</v>
      </c>
      <c r="N22" s="2" t="s">
        <v>45</v>
      </c>
      <c r="O22" s="2" t="s">
        <v>36</v>
      </c>
      <c r="P22" s="2" t="s">
        <v>31</v>
      </c>
      <c r="Q22" s="20">
        <v>22728</v>
      </c>
      <c r="R22">
        <v>1672</v>
      </c>
      <c r="S22" s="38">
        <f t="shared" si="2"/>
        <v>0.24665610700457585</v>
      </c>
      <c r="V22" s="39"/>
    </row>
    <row r="23" spans="1:29" ht="14.25" customHeight="1" x14ac:dyDescent="0.3">
      <c r="A23" s="2" t="s">
        <v>59</v>
      </c>
      <c r="B23" s="2" t="s">
        <v>33</v>
      </c>
      <c r="C23" s="12">
        <v>45715</v>
      </c>
      <c r="D23" s="2" t="s">
        <v>20</v>
      </c>
      <c r="E23" s="2" t="s">
        <v>21</v>
      </c>
      <c r="F23" s="15">
        <v>1570</v>
      </c>
      <c r="G23" s="15">
        <v>187</v>
      </c>
      <c r="H23" s="15">
        <v>260</v>
      </c>
      <c r="I23" s="15">
        <f t="shared" si="0"/>
        <v>2017</v>
      </c>
      <c r="J23" s="17">
        <f t="shared" si="1"/>
        <v>8.0294585987261149E-2</v>
      </c>
      <c r="K23" s="15">
        <v>25120</v>
      </c>
      <c r="L23" s="15">
        <v>24613</v>
      </c>
      <c r="M23" s="15">
        <v>133</v>
      </c>
      <c r="N23" s="2" t="s">
        <v>17</v>
      </c>
      <c r="O23" s="2"/>
      <c r="P23" s="2" t="s">
        <v>43</v>
      </c>
      <c r="Q23" s="20">
        <v>38610</v>
      </c>
      <c r="R23">
        <v>309</v>
      </c>
      <c r="S23" s="38">
        <f t="shared" si="2"/>
        <v>5.2240352240352242E-2</v>
      </c>
      <c r="V23" s="39"/>
    </row>
    <row r="24" spans="1:29" ht="14.25" customHeight="1" x14ac:dyDescent="0.3">
      <c r="A24" s="2" t="s">
        <v>60</v>
      </c>
      <c r="B24" s="2" t="s">
        <v>33</v>
      </c>
      <c r="C24" s="12">
        <v>45602</v>
      </c>
      <c r="D24" s="2" t="s">
        <v>50</v>
      </c>
      <c r="E24" s="2" t="s">
        <v>51</v>
      </c>
      <c r="F24" s="15">
        <v>1606</v>
      </c>
      <c r="G24" s="15">
        <v>547</v>
      </c>
      <c r="H24" s="15">
        <v>316</v>
      </c>
      <c r="I24" s="15">
        <f t="shared" si="0"/>
        <v>2469</v>
      </c>
      <c r="J24" s="17">
        <f t="shared" si="1"/>
        <v>7.6867995018679955E-2</v>
      </c>
      <c r="K24" s="15">
        <v>32120</v>
      </c>
      <c r="L24" s="15">
        <v>31736</v>
      </c>
      <c r="M24" s="15">
        <v>225</v>
      </c>
      <c r="N24" s="2" t="s">
        <v>17</v>
      </c>
      <c r="O24" s="2"/>
      <c r="P24" s="2" t="s">
        <v>31</v>
      </c>
      <c r="Q24" s="20">
        <v>2932</v>
      </c>
      <c r="R24">
        <v>547</v>
      </c>
      <c r="S24" s="38">
        <f t="shared" si="2"/>
        <v>0.842087312414734</v>
      </c>
      <c r="V24" s="39"/>
    </row>
    <row r="25" spans="1:29" ht="14.25" customHeight="1" x14ac:dyDescent="0.3">
      <c r="A25" s="2" t="s">
        <v>61</v>
      </c>
      <c r="B25" s="2" t="s">
        <v>33</v>
      </c>
      <c r="C25" s="12">
        <v>45680</v>
      </c>
      <c r="D25" s="2" t="s">
        <v>50</v>
      </c>
      <c r="E25" s="2" t="s">
        <v>51</v>
      </c>
      <c r="F25" s="15">
        <v>3961</v>
      </c>
      <c r="G25" s="15">
        <v>761</v>
      </c>
      <c r="H25" s="15">
        <v>131</v>
      </c>
      <c r="I25" s="15">
        <f t="shared" si="0"/>
        <v>4853</v>
      </c>
      <c r="J25" s="17">
        <f t="shared" si="1"/>
        <v>7.2070332803659209E-2</v>
      </c>
      <c r="K25" s="15">
        <v>67337</v>
      </c>
      <c r="L25" s="15">
        <v>66615</v>
      </c>
      <c r="M25" s="15">
        <v>161</v>
      </c>
      <c r="N25" s="2" t="s">
        <v>36</v>
      </c>
      <c r="O25" s="2"/>
      <c r="P25" s="2" t="s">
        <v>23</v>
      </c>
      <c r="Q25" s="20">
        <v>15071</v>
      </c>
      <c r="R25">
        <v>514</v>
      </c>
      <c r="S25" s="38">
        <f t="shared" si="2"/>
        <v>0.32200915665848318</v>
      </c>
      <c r="V25" s="39"/>
      <c r="W25" s="33" t="s">
        <v>360</v>
      </c>
      <c r="X25" s="34" t="s">
        <v>367</v>
      </c>
      <c r="Y25" s="34" t="s">
        <v>366</v>
      </c>
      <c r="Z25" s="34" t="s">
        <v>365</v>
      </c>
      <c r="AA25" s="34" t="s">
        <v>368</v>
      </c>
      <c r="AB25" s="34" t="s">
        <v>369</v>
      </c>
      <c r="AC25" s="34" t="s">
        <v>370</v>
      </c>
    </row>
    <row r="26" spans="1:29" ht="14.25" customHeight="1" x14ac:dyDescent="0.3">
      <c r="A26" s="2" t="s">
        <v>62</v>
      </c>
      <c r="B26" s="2" t="s">
        <v>14</v>
      </c>
      <c r="C26" s="12">
        <v>45757</v>
      </c>
      <c r="D26" s="2" t="s">
        <v>34</v>
      </c>
      <c r="E26" s="2" t="s">
        <v>35</v>
      </c>
      <c r="F26" s="15">
        <v>3128</v>
      </c>
      <c r="G26" s="15">
        <v>211</v>
      </c>
      <c r="H26" s="15">
        <v>197</v>
      </c>
      <c r="I26" s="15">
        <f t="shared" si="0"/>
        <v>3536</v>
      </c>
      <c r="J26" s="17">
        <f t="shared" si="1"/>
        <v>5.9496567505720827E-2</v>
      </c>
      <c r="K26" s="15">
        <v>59432</v>
      </c>
      <c r="L26" s="15">
        <v>59182</v>
      </c>
      <c r="M26" s="15">
        <v>238</v>
      </c>
      <c r="N26" s="2" t="s">
        <v>45</v>
      </c>
      <c r="O26" s="2" t="s">
        <v>17</v>
      </c>
      <c r="P26" s="2" t="s">
        <v>18</v>
      </c>
      <c r="Q26" s="20">
        <v>10740</v>
      </c>
      <c r="R26">
        <v>1845</v>
      </c>
      <c r="S26" s="38">
        <f t="shared" si="2"/>
        <v>0.32923649906890129</v>
      </c>
      <c r="V26" s="39"/>
      <c r="W26" s="34" t="s">
        <v>23</v>
      </c>
      <c r="X26" s="35">
        <v>12376</v>
      </c>
      <c r="Y26" s="35">
        <v>2886292</v>
      </c>
      <c r="Z26" s="35">
        <v>232785</v>
      </c>
      <c r="AA26" s="35">
        <v>149.10843373493975</v>
      </c>
      <c r="AB26" s="35">
        <v>34774.602409638552</v>
      </c>
      <c r="AC26" s="35">
        <v>2804.6385542168673</v>
      </c>
    </row>
    <row r="27" spans="1:29" ht="14.25" customHeight="1" x14ac:dyDescent="0.3">
      <c r="A27" s="2" t="s">
        <v>63</v>
      </c>
      <c r="B27" s="2" t="s">
        <v>25</v>
      </c>
      <c r="C27" s="12">
        <v>45752</v>
      </c>
      <c r="D27" s="2" t="s">
        <v>15</v>
      </c>
      <c r="E27" s="2" t="s">
        <v>16</v>
      </c>
      <c r="F27" s="15">
        <v>3009</v>
      </c>
      <c r="G27" s="15">
        <v>413</v>
      </c>
      <c r="H27" s="15">
        <v>358</v>
      </c>
      <c r="I27" s="15">
        <f t="shared" si="0"/>
        <v>3780</v>
      </c>
      <c r="J27" s="17">
        <f t="shared" si="1"/>
        <v>8.9730807577268201E-2</v>
      </c>
      <c r="K27" s="15">
        <v>42126</v>
      </c>
      <c r="L27" s="15">
        <v>41309</v>
      </c>
      <c r="M27" s="15">
        <v>211</v>
      </c>
      <c r="N27" s="2" t="s">
        <v>17</v>
      </c>
      <c r="O27" s="2"/>
      <c r="P27" s="2" t="s">
        <v>23</v>
      </c>
      <c r="Q27" s="20">
        <v>43420</v>
      </c>
      <c r="R27">
        <v>-164</v>
      </c>
      <c r="S27" s="38">
        <f t="shared" si="2"/>
        <v>8.7056655918931372E-2</v>
      </c>
      <c r="V27" s="39"/>
      <c r="W27" s="34" t="s">
        <v>18</v>
      </c>
      <c r="X27" s="35">
        <v>11191</v>
      </c>
      <c r="Y27" s="35">
        <v>2788367</v>
      </c>
      <c r="Z27" s="35">
        <v>212431</v>
      </c>
      <c r="AA27" s="35">
        <v>155.43055555555554</v>
      </c>
      <c r="AB27" s="35">
        <v>38727.319444444445</v>
      </c>
      <c r="AC27" s="35">
        <v>2950.4305555555557</v>
      </c>
    </row>
    <row r="28" spans="1:29" ht="14.25" customHeight="1" x14ac:dyDescent="0.3">
      <c r="A28" s="2" t="s">
        <v>64</v>
      </c>
      <c r="B28" s="2" t="s">
        <v>25</v>
      </c>
      <c r="C28" s="12">
        <v>45552</v>
      </c>
      <c r="D28" s="2" t="s">
        <v>20</v>
      </c>
      <c r="E28" s="2" t="s">
        <v>21</v>
      </c>
      <c r="F28" s="15">
        <v>2076</v>
      </c>
      <c r="G28" s="15">
        <v>195</v>
      </c>
      <c r="H28" s="15">
        <v>104</v>
      </c>
      <c r="I28" s="15">
        <f t="shared" si="0"/>
        <v>2375</v>
      </c>
      <c r="J28" s="17">
        <f t="shared" si="1"/>
        <v>7.1501685934489398E-2</v>
      </c>
      <c r="K28" s="15">
        <v>33216</v>
      </c>
      <c r="L28" s="15">
        <v>32244</v>
      </c>
      <c r="M28" s="15">
        <v>51</v>
      </c>
      <c r="N28" s="2" t="s">
        <v>36</v>
      </c>
      <c r="O28" s="2"/>
      <c r="P28" s="2" t="s">
        <v>43</v>
      </c>
      <c r="Q28" s="20">
        <v>32393</v>
      </c>
      <c r="R28">
        <v>429</v>
      </c>
      <c r="S28" s="38">
        <f t="shared" si="2"/>
        <v>7.331830951131417E-2</v>
      </c>
      <c r="V28" s="39"/>
      <c r="W28" s="34" t="s">
        <v>31</v>
      </c>
      <c r="X28" s="35">
        <v>12464</v>
      </c>
      <c r="Y28" s="35">
        <v>2611652</v>
      </c>
      <c r="Z28" s="35">
        <v>198666</v>
      </c>
      <c r="AA28" s="35">
        <v>159.7948717948718</v>
      </c>
      <c r="AB28" s="35">
        <v>33482.717948717946</v>
      </c>
      <c r="AC28" s="35">
        <v>2547</v>
      </c>
    </row>
    <row r="29" spans="1:29" ht="14.25" customHeight="1" x14ac:dyDescent="0.3">
      <c r="A29" s="2" t="s">
        <v>65</v>
      </c>
      <c r="B29" s="2" t="s">
        <v>27</v>
      </c>
      <c r="C29" s="12">
        <v>45720</v>
      </c>
      <c r="D29" s="2" t="s">
        <v>50</v>
      </c>
      <c r="E29" s="2" t="s">
        <v>51</v>
      </c>
      <c r="F29" s="15">
        <v>432</v>
      </c>
      <c r="G29" s="15">
        <v>624</v>
      </c>
      <c r="H29" s="15">
        <v>123</v>
      </c>
      <c r="I29" s="15">
        <f t="shared" si="0"/>
        <v>1179</v>
      </c>
      <c r="J29" s="17">
        <f t="shared" si="1"/>
        <v>0.17057291666666666</v>
      </c>
      <c r="K29" s="15">
        <v>6912</v>
      </c>
      <c r="L29" s="15">
        <v>6259</v>
      </c>
      <c r="M29" s="15">
        <v>79</v>
      </c>
      <c r="N29" s="2" t="s">
        <v>17</v>
      </c>
      <c r="O29" s="2" t="s">
        <v>36</v>
      </c>
      <c r="P29" s="2" t="s">
        <v>23</v>
      </c>
      <c r="Q29" s="20">
        <v>28474</v>
      </c>
      <c r="R29">
        <v>160</v>
      </c>
      <c r="S29" s="38">
        <f t="shared" si="2"/>
        <v>4.1406195125377535E-2</v>
      </c>
      <c r="V29" s="39"/>
      <c r="W29" s="34" t="s">
        <v>43</v>
      </c>
      <c r="X29" s="35">
        <v>9335</v>
      </c>
      <c r="Y29" s="35">
        <v>2107842</v>
      </c>
      <c r="Z29" s="35">
        <v>176109</v>
      </c>
      <c r="AA29" s="35">
        <v>139.32835820895522</v>
      </c>
      <c r="AB29" s="35">
        <v>31460.328358208953</v>
      </c>
      <c r="AC29" s="35">
        <v>2628.4925373134329</v>
      </c>
    </row>
    <row r="30" spans="1:29" ht="14.25" customHeight="1" x14ac:dyDescent="0.3">
      <c r="A30" s="2" t="s">
        <v>66</v>
      </c>
      <c r="B30" s="2" t="s">
        <v>27</v>
      </c>
      <c r="C30" s="12">
        <v>45688</v>
      </c>
      <c r="D30" s="2" t="s">
        <v>34</v>
      </c>
      <c r="E30" s="2" t="s">
        <v>35</v>
      </c>
      <c r="F30" s="15">
        <v>2566</v>
      </c>
      <c r="G30" s="15">
        <v>118</v>
      </c>
      <c r="H30" s="15">
        <v>37</v>
      </c>
      <c r="I30" s="15">
        <f t="shared" si="0"/>
        <v>2721</v>
      </c>
      <c r="J30" s="17">
        <f t="shared" si="1"/>
        <v>0.21208106001558846</v>
      </c>
      <c r="K30" s="15">
        <v>12830</v>
      </c>
      <c r="L30" s="15">
        <v>12264</v>
      </c>
      <c r="M30" s="15">
        <v>221</v>
      </c>
      <c r="N30" s="2" t="s">
        <v>36</v>
      </c>
      <c r="O30" s="2" t="s">
        <v>22</v>
      </c>
      <c r="P30" s="2" t="s">
        <v>31</v>
      </c>
      <c r="Q30" s="20">
        <v>17328</v>
      </c>
      <c r="R30">
        <v>159</v>
      </c>
      <c r="S30" s="38">
        <f t="shared" si="2"/>
        <v>0.15702908587257619</v>
      </c>
      <c r="V30" s="39"/>
      <c r="W30" s="34" t="s">
        <v>361</v>
      </c>
      <c r="X30" s="35">
        <v>45366</v>
      </c>
      <c r="Y30" s="35">
        <v>10394153</v>
      </c>
      <c r="Z30" s="35">
        <v>819991</v>
      </c>
      <c r="AA30" s="35">
        <v>151.22</v>
      </c>
      <c r="AB30" s="35">
        <v>34647.176666666666</v>
      </c>
      <c r="AC30" s="35">
        <v>2733.3033333333333</v>
      </c>
    </row>
    <row r="31" spans="1:29" ht="14.25" customHeight="1" x14ac:dyDescent="0.3">
      <c r="A31" s="2" t="s">
        <v>67</v>
      </c>
      <c r="B31" s="2" t="s">
        <v>27</v>
      </c>
      <c r="C31" s="12">
        <v>45713</v>
      </c>
      <c r="D31" s="2" t="s">
        <v>50</v>
      </c>
      <c r="E31" s="2" t="s">
        <v>51</v>
      </c>
      <c r="F31" s="15">
        <v>3095</v>
      </c>
      <c r="G31" s="15">
        <v>39</v>
      </c>
      <c r="H31" s="15">
        <v>78</v>
      </c>
      <c r="I31" s="15">
        <f t="shared" si="0"/>
        <v>3212</v>
      </c>
      <c r="J31" s="17">
        <f t="shared" si="1"/>
        <v>5.7655717106444085E-2</v>
      </c>
      <c r="K31" s="15">
        <v>55710</v>
      </c>
      <c r="L31" s="15">
        <v>54808</v>
      </c>
      <c r="M31" s="15">
        <v>93</v>
      </c>
      <c r="N31" s="2" t="s">
        <v>17</v>
      </c>
      <c r="O31" s="2"/>
      <c r="P31" s="2" t="s">
        <v>43</v>
      </c>
      <c r="Q31" s="20">
        <v>26067</v>
      </c>
      <c r="R31">
        <v>961</v>
      </c>
      <c r="S31" s="38">
        <f t="shared" si="2"/>
        <v>0.12322093067863582</v>
      </c>
      <c r="V31" s="39"/>
    </row>
    <row r="32" spans="1:29" ht="14.25" customHeight="1" x14ac:dyDescent="0.3">
      <c r="A32" s="2" t="s">
        <v>68</v>
      </c>
      <c r="B32" s="2" t="s">
        <v>27</v>
      </c>
      <c r="C32" s="12">
        <v>45642</v>
      </c>
      <c r="D32" s="2" t="s">
        <v>20</v>
      </c>
      <c r="E32" s="2" t="s">
        <v>21</v>
      </c>
      <c r="F32" s="15">
        <v>438</v>
      </c>
      <c r="G32" s="15">
        <v>153</v>
      </c>
      <c r="H32" s="15">
        <v>275</v>
      </c>
      <c r="I32" s="15">
        <f t="shared" si="0"/>
        <v>866</v>
      </c>
      <c r="J32" s="17">
        <f t="shared" si="1"/>
        <v>0.28245270711024134</v>
      </c>
      <c r="K32" s="15">
        <v>3066</v>
      </c>
      <c r="L32" s="15">
        <v>2701</v>
      </c>
      <c r="M32" s="15">
        <v>282</v>
      </c>
      <c r="N32" s="2" t="s">
        <v>36</v>
      </c>
      <c r="O32" s="2"/>
      <c r="P32" s="2" t="s">
        <v>43</v>
      </c>
      <c r="Q32" s="20">
        <v>32763</v>
      </c>
      <c r="R32">
        <v>1316</v>
      </c>
      <c r="S32" s="38">
        <f t="shared" si="2"/>
        <v>2.6432255898422002E-2</v>
      </c>
      <c r="V32" s="39"/>
    </row>
    <row r="33" spans="1:22" ht="14.25" customHeight="1" x14ac:dyDescent="0.3">
      <c r="A33" s="2" t="s">
        <v>69</v>
      </c>
      <c r="B33" s="2" t="s">
        <v>14</v>
      </c>
      <c r="C33" s="12">
        <v>45504</v>
      </c>
      <c r="D33" s="2" t="s">
        <v>34</v>
      </c>
      <c r="E33" s="2" t="s">
        <v>35</v>
      </c>
      <c r="F33" s="15">
        <v>2278</v>
      </c>
      <c r="G33" s="15">
        <v>10</v>
      </c>
      <c r="H33" s="15">
        <v>321</v>
      </c>
      <c r="I33" s="15">
        <f t="shared" si="0"/>
        <v>2609</v>
      </c>
      <c r="J33" s="17">
        <f t="shared" si="1"/>
        <v>0.19088381621305239</v>
      </c>
      <c r="K33" s="15">
        <v>13668</v>
      </c>
      <c r="L33" s="15">
        <v>12676</v>
      </c>
      <c r="M33" s="15">
        <v>275</v>
      </c>
      <c r="N33" s="2" t="s">
        <v>36</v>
      </c>
      <c r="O33" s="2" t="s">
        <v>22</v>
      </c>
      <c r="P33" s="2" t="s">
        <v>43</v>
      </c>
      <c r="Q33" s="20">
        <v>26452</v>
      </c>
      <c r="R33">
        <v>317</v>
      </c>
      <c r="S33" s="38">
        <f t="shared" si="2"/>
        <v>9.8631483441705733E-2</v>
      </c>
      <c r="V33" s="39"/>
    </row>
    <row r="34" spans="1:22" ht="14.25" customHeight="1" x14ac:dyDescent="0.3">
      <c r="A34" s="2" t="s">
        <v>70</v>
      </c>
      <c r="B34" s="2" t="s">
        <v>33</v>
      </c>
      <c r="C34" s="12">
        <v>45525</v>
      </c>
      <c r="D34" s="2" t="s">
        <v>39</v>
      </c>
      <c r="E34" s="2" t="s">
        <v>40</v>
      </c>
      <c r="F34" s="15">
        <v>1407</v>
      </c>
      <c r="G34" s="15">
        <v>400</v>
      </c>
      <c r="H34" s="15">
        <v>351</v>
      </c>
      <c r="I34" s="15">
        <f t="shared" si="0"/>
        <v>2158</v>
      </c>
      <c r="J34" s="17">
        <f t="shared" si="1"/>
        <v>0.12781331438047855</v>
      </c>
      <c r="K34" s="15">
        <v>16884</v>
      </c>
      <c r="L34" s="15">
        <v>15954</v>
      </c>
      <c r="M34" s="15">
        <v>113</v>
      </c>
      <c r="N34" s="2" t="s">
        <v>22</v>
      </c>
      <c r="O34" s="2" t="s">
        <v>54</v>
      </c>
      <c r="P34" s="2" t="s">
        <v>31</v>
      </c>
      <c r="Q34" s="20">
        <v>15353</v>
      </c>
      <c r="R34">
        <v>541</v>
      </c>
      <c r="S34" s="38">
        <f t="shared" si="2"/>
        <v>0.14055884843353092</v>
      </c>
      <c r="V34" s="39"/>
    </row>
    <row r="35" spans="1:22" ht="14.25" customHeight="1" x14ac:dyDescent="0.3">
      <c r="A35" s="2" t="s">
        <v>71</v>
      </c>
      <c r="B35" s="2" t="s">
        <v>33</v>
      </c>
      <c r="C35" s="12">
        <v>45742</v>
      </c>
      <c r="D35" s="2" t="s">
        <v>20</v>
      </c>
      <c r="E35" s="2" t="s">
        <v>21</v>
      </c>
      <c r="F35" s="15">
        <v>1652</v>
      </c>
      <c r="G35" s="15">
        <v>89</v>
      </c>
      <c r="H35" s="15">
        <v>357</v>
      </c>
      <c r="I35" s="15">
        <f t="shared" si="0"/>
        <v>2098</v>
      </c>
      <c r="J35" s="17">
        <f t="shared" si="1"/>
        <v>7.055421038471886E-2</v>
      </c>
      <c r="K35" s="15">
        <v>29736</v>
      </c>
      <c r="L35" s="15">
        <v>28771</v>
      </c>
      <c r="M35" s="15">
        <v>215</v>
      </c>
      <c r="N35" s="2" t="s">
        <v>36</v>
      </c>
      <c r="O35" s="2" t="s">
        <v>54</v>
      </c>
      <c r="P35" s="2" t="s">
        <v>23</v>
      </c>
      <c r="Q35" s="20">
        <v>4839</v>
      </c>
      <c r="R35">
        <v>-318</v>
      </c>
      <c r="S35" s="38">
        <f t="shared" si="2"/>
        <v>0.43356065302748503</v>
      </c>
      <c r="V35" s="39"/>
    </row>
    <row r="36" spans="1:22" ht="14.25" customHeight="1" x14ac:dyDescent="0.3">
      <c r="A36" s="2" t="s">
        <v>72</v>
      </c>
      <c r="B36" s="2" t="s">
        <v>27</v>
      </c>
      <c r="C36" s="12">
        <v>45626</v>
      </c>
      <c r="D36" s="2" t="s">
        <v>50</v>
      </c>
      <c r="E36" s="2" t="s">
        <v>51</v>
      </c>
      <c r="F36" s="15">
        <v>3775</v>
      </c>
      <c r="G36" s="15">
        <v>16</v>
      </c>
      <c r="H36" s="15">
        <v>239</v>
      </c>
      <c r="I36" s="15">
        <f t="shared" si="0"/>
        <v>4030</v>
      </c>
      <c r="J36" s="17">
        <f t="shared" si="1"/>
        <v>0.11861662987490802</v>
      </c>
      <c r="K36" s="15">
        <v>33975</v>
      </c>
      <c r="L36" s="15">
        <v>33310</v>
      </c>
      <c r="M36" s="15">
        <v>271</v>
      </c>
      <c r="N36" s="2" t="s">
        <v>45</v>
      </c>
      <c r="O36" s="2" t="s">
        <v>17</v>
      </c>
      <c r="P36" s="2" t="s">
        <v>31</v>
      </c>
      <c r="Q36" s="20">
        <v>39272</v>
      </c>
      <c r="R36">
        <v>1495</v>
      </c>
      <c r="S36" s="38">
        <f t="shared" si="2"/>
        <v>0.10261764106742717</v>
      </c>
      <c r="V36" s="39"/>
    </row>
    <row r="37" spans="1:22" ht="14.25" customHeight="1" x14ac:dyDescent="0.3">
      <c r="A37" s="2" t="s">
        <v>73</v>
      </c>
      <c r="B37" s="2" t="s">
        <v>27</v>
      </c>
      <c r="C37" s="12">
        <v>45766</v>
      </c>
      <c r="D37" s="2" t="s">
        <v>28</v>
      </c>
      <c r="E37" s="2" t="s">
        <v>29</v>
      </c>
      <c r="F37" s="15">
        <v>4518</v>
      </c>
      <c r="G37" s="15">
        <v>285</v>
      </c>
      <c r="H37" s="15">
        <v>383</v>
      </c>
      <c r="I37" s="15">
        <f t="shared" si="0"/>
        <v>5186</v>
      </c>
      <c r="J37" s="17">
        <f t="shared" si="1"/>
        <v>7.6523535487678915E-2</v>
      </c>
      <c r="K37" s="15">
        <v>67770</v>
      </c>
      <c r="L37" s="15">
        <v>67621</v>
      </c>
      <c r="M37" s="15">
        <v>31</v>
      </c>
      <c r="N37" s="2" t="s">
        <v>54</v>
      </c>
      <c r="O37" s="2"/>
      <c r="P37" s="2" t="s">
        <v>23</v>
      </c>
      <c r="Q37" s="20">
        <v>16804</v>
      </c>
      <c r="R37">
        <v>475</v>
      </c>
      <c r="S37" s="38">
        <f t="shared" si="2"/>
        <v>0.30861699595334446</v>
      </c>
      <c r="V37" s="39"/>
    </row>
    <row r="38" spans="1:22" ht="14.25" customHeight="1" x14ac:dyDescent="0.3">
      <c r="A38" s="2" t="s">
        <v>74</v>
      </c>
      <c r="B38" s="2" t="s">
        <v>33</v>
      </c>
      <c r="C38" s="12">
        <v>45663</v>
      </c>
      <c r="D38" s="2" t="s">
        <v>34</v>
      </c>
      <c r="E38" s="2" t="s">
        <v>35</v>
      </c>
      <c r="F38" s="15">
        <v>3024</v>
      </c>
      <c r="G38" s="15">
        <v>925</v>
      </c>
      <c r="H38" s="15">
        <v>350</v>
      </c>
      <c r="I38" s="15">
        <f t="shared" si="0"/>
        <v>4299</v>
      </c>
      <c r="J38" s="17">
        <f t="shared" si="1"/>
        <v>0.17770337301587302</v>
      </c>
      <c r="K38" s="15">
        <v>24192</v>
      </c>
      <c r="L38" s="15">
        <v>23518</v>
      </c>
      <c r="M38" s="15">
        <v>36</v>
      </c>
      <c r="N38" s="2" t="s">
        <v>17</v>
      </c>
      <c r="O38" s="2"/>
      <c r="P38" s="2" t="s">
        <v>31</v>
      </c>
      <c r="Q38" s="20">
        <v>49303</v>
      </c>
      <c r="R38">
        <v>352</v>
      </c>
      <c r="S38" s="38">
        <f t="shared" si="2"/>
        <v>8.7195505344502364E-2</v>
      </c>
      <c r="V38" s="39"/>
    </row>
    <row r="39" spans="1:22" ht="14.25" customHeight="1" x14ac:dyDescent="0.3">
      <c r="A39" s="2" t="s">
        <v>75</v>
      </c>
      <c r="B39" s="2" t="s">
        <v>25</v>
      </c>
      <c r="C39" s="12">
        <v>45705</v>
      </c>
      <c r="D39" s="2" t="s">
        <v>15</v>
      </c>
      <c r="E39" s="2" t="s">
        <v>16</v>
      </c>
      <c r="F39" s="15">
        <v>3138</v>
      </c>
      <c r="G39" s="15">
        <v>123</v>
      </c>
      <c r="H39" s="15">
        <v>291</v>
      </c>
      <c r="I39" s="15">
        <f t="shared" si="0"/>
        <v>3552</v>
      </c>
      <c r="J39" s="17">
        <f t="shared" si="1"/>
        <v>0.12577012959422137</v>
      </c>
      <c r="K39" s="15">
        <v>28242</v>
      </c>
      <c r="L39" s="15">
        <v>27550</v>
      </c>
      <c r="M39" s="15">
        <v>87</v>
      </c>
      <c r="N39" s="2" t="s">
        <v>54</v>
      </c>
      <c r="O39" s="2"/>
      <c r="P39" s="2" t="s">
        <v>43</v>
      </c>
      <c r="Q39" s="20">
        <v>26455</v>
      </c>
      <c r="R39">
        <v>-197</v>
      </c>
      <c r="S39" s="38">
        <f t="shared" si="2"/>
        <v>0.13426573426573427</v>
      </c>
      <c r="V39" s="39"/>
    </row>
    <row r="40" spans="1:22" ht="14.25" customHeight="1" x14ac:dyDescent="0.3">
      <c r="A40" s="2" t="s">
        <v>76</v>
      </c>
      <c r="B40" s="2" t="s">
        <v>33</v>
      </c>
      <c r="C40" s="12">
        <v>45621</v>
      </c>
      <c r="D40" s="2" t="s">
        <v>39</v>
      </c>
      <c r="E40" s="2" t="s">
        <v>40</v>
      </c>
      <c r="F40" s="15">
        <v>3564</v>
      </c>
      <c r="G40" s="15">
        <v>629</v>
      </c>
      <c r="H40" s="15">
        <v>177</v>
      </c>
      <c r="I40" s="15">
        <f t="shared" si="0"/>
        <v>4370</v>
      </c>
      <c r="J40" s="17">
        <f t="shared" si="1"/>
        <v>7.2126493695121141E-2</v>
      </c>
      <c r="K40" s="15">
        <v>60588</v>
      </c>
      <c r="L40" s="15">
        <v>59627</v>
      </c>
      <c r="M40" s="15">
        <v>92</v>
      </c>
      <c r="N40" s="2" t="s">
        <v>54</v>
      </c>
      <c r="O40" s="2" t="s">
        <v>17</v>
      </c>
      <c r="P40" s="2" t="s">
        <v>31</v>
      </c>
      <c r="Q40" s="20">
        <v>12384</v>
      </c>
      <c r="R40">
        <v>328</v>
      </c>
      <c r="S40" s="38">
        <f t="shared" si="2"/>
        <v>0.35287467700258396</v>
      </c>
      <c r="V40" s="39"/>
    </row>
    <row r="41" spans="1:22" ht="14.25" customHeight="1" x14ac:dyDescent="0.3">
      <c r="A41" s="2" t="s">
        <v>77</v>
      </c>
      <c r="B41" s="2" t="s">
        <v>14</v>
      </c>
      <c r="C41" s="12">
        <v>45723</v>
      </c>
      <c r="D41" s="2" t="s">
        <v>39</v>
      </c>
      <c r="E41" s="2" t="s">
        <v>40</v>
      </c>
      <c r="F41" s="15">
        <v>4750</v>
      </c>
      <c r="G41" s="15">
        <v>151</v>
      </c>
      <c r="H41" s="15">
        <v>415</v>
      </c>
      <c r="I41" s="15">
        <f t="shared" si="0"/>
        <v>5316</v>
      </c>
      <c r="J41" s="17">
        <f t="shared" si="1"/>
        <v>0.13989473684210527</v>
      </c>
      <c r="K41" s="15">
        <v>38000</v>
      </c>
      <c r="L41" s="15">
        <v>37792</v>
      </c>
      <c r="M41" s="15">
        <v>299</v>
      </c>
      <c r="N41" s="2" t="s">
        <v>45</v>
      </c>
      <c r="O41" s="2" t="s">
        <v>17</v>
      </c>
      <c r="P41" s="2" t="s">
        <v>23</v>
      </c>
      <c r="Q41" s="20">
        <v>49372</v>
      </c>
      <c r="R41">
        <v>319</v>
      </c>
      <c r="S41" s="38">
        <f t="shared" si="2"/>
        <v>0.10767236490318399</v>
      </c>
      <c r="V41" s="39"/>
    </row>
    <row r="42" spans="1:22" ht="14.25" customHeight="1" x14ac:dyDescent="0.3">
      <c r="A42" s="2" t="s">
        <v>78</v>
      </c>
      <c r="B42" s="2" t="s">
        <v>27</v>
      </c>
      <c r="C42" s="12">
        <v>45724</v>
      </c>
      <c r="D42" s="2" t="s">
        <v>15</v>
      </c>
      <c r="E42" s="2" t="s">
        <v>16</v>
      </c>
      <c r="F42" s="15">
        <v>456</v>
      </c>
      <c r="G42" s="15">
        <v>629</v>
      </c>
      <c r="H42" s="15">
        <v>428</v>
      </c>
      <c r="I42" s="15">
        <f t="shared" si="0"/>
        <v>1513</v>
      </c>
      <c r="J42" s="17">
        <f t="shared" si="1"/>
        <v>0.18433235867446393</v>
      </c>
      <c r="K42" s="15">
        <v>8208</v>
      </c>
      <c r="L42" s="15">
        <v>7377</v>
      </c>
      <c r="M42" s="15">
        <v>205</v>
      </c>
      <c r="N42" s="2" t="s">
        <v>17</v>
      </c>
      <c r="O42" s="2" t="s">
        <v>54</v>
      </c>
      <c r="P42" s="2" t="s">
        <v>31</v>
      </c>
      <c r="Q42" s="20">
        <v>47101</v>
      </c>
      <c r="R42">
        <v>1325</v>
      </c>
      <c r="S42" s="38">
        <f t="shared" si="2"/>
        <v>3.2122460245005417E-2</v>
      </c>
      <c r="V42" s="39"/>
    </row>
    <row r="43" spans="1:22" ht="14.25" customHeight="1" x14ac:dyDescent="0.3">
      <c r="A43" s="2" t="s">
        <v>79</v>
      </c>
      <c r="B43" s="2" t="s">
        <v>25</v>
      </c>
      <c r="C43" s="12">
        <v>45721</v>
      </c>
      <c r="D43" s="2" t="s">
        <v>15</v>
      </c>
      <c r="E43" s="2" t="s">
        <v>16</v>
      </c>
      <c r="F43" s="15">
        <v>1543</v>
      </c>
      <c r="G43" s="15">
        <v>820</v>
      </c>
      <c r="H43" s="15">
        <v>333</v>
      </c>
      <c r="I43" s="15">
        <f t="shared" si="0"/>
        <v>2696</v>
      </c>
      <c r="J43" s="17">
        <f t="shared" si="1"/>
        <v>0.21840570317563188</v>
      </c>
      <c r="K43" s="15">
        <v>12344</v>
      </c>
      <c r="L43" s="15">
        <v>11496</v>
      </c>
      <c r="M43" s="15">
        <v>241</v>
      </c>
      <c r="N43" s="2" t="s">
        <v>45</v>
      </c>
      <c r="O43" s="2"/>
      <c r="P43" s="2" t="s">
        <v>31</v>
      </c>
      <c r="Q43" s="20">
        <v>37903</v>
      </c>
      <c r="R43">
        <v>1334</v>
      </c>
      <c r="S43" s="38">
        <f t="shared" si="2"/>
        <v>7.1128934385141021E-2</v>
      </c>
      <c r="V43" s="39"/>
    </row>
    <row r="44" spans="1:22" ht="14.25" customHeight="1" x14ac:dyDescent="0.3">
      <c r="A44" s="2" t="s">
        <v>80</v>
      </c>
      <c r="B44" s="2" t="s">
        <v>27</v>
      </c>
      <c r="C44" s="12">
        <v>45640</v>
      </c>
      <c r="D44" s="2" t="s">
        <v>34</v>
      </c>
      <c r="E44" s="2" t="s">
        <v>35</v>
      </c>
      <c r="F44" s="15">
        <v>2174</v>
      </c>
      <c r="G44" s="15">
        <v>658</v>
      </c>
      <c r="H44" s="15">
        <v>15</v>
      </c>
      <c r="I44" s="15">
        <f t="shared" si="0"/>
        <v>2847</v>
      </c>
      <c r="J44" s="17">
        <f t="shared" si="1"/>
        <v>0.21826126954921804</v>
      </c>
      <c r="K44" s="15">
        <v>13044</v>
      </c>
      <c r="L44" s="15">
        <v>12206</v>
      </c>
      <c r="M44" s="15">
        <v>137</v>
      </c>
      <c r="N44" s="2" t="s">
        <v>17</v>
      </c>
      <c r="O44" s="2" t="s">
        <v>22</v>
      </c>
      <c r="P44" s="2" t="s">
        <v>43</v>
      </c>
      <c r="Q44" s="20">
        <v>33258</v>
      </c>
      <c r="R44">
        <v>37</v>
      </c>
      <c r="S44" s="38">
        <f t="shared" si="2"/>
        <v>8.5603463828251847E-2</v>
      </c>
      <c r="V44" s="39"/>
    </row>
    <row r="45" spans="1:22" ht="14.25" customHeight="1" x14ac:dyDescent="0.3">
      <c r="A45" s="2" t="s">
        <v>81</v>
      </c>
      <c r="B45" s="2" t="s">
        <v>14</v>
      </c>
      <c r="C45" s="12">
        <v>45718</v>
      </c>
      <c r="D45" s="2" t="s">
        <v>39</v>
      </c>
      <c r="E45" s="2" t="s">
        <v>40</v>
      </c>
      <c r="F45" s="15">
        <v>2358</v>
      </c>
      <c r="G45" s="15">
        <v>784</v>
      </c>
      <c r="H45" s="15">
        <v>344</v>
      </c>
      <c r="I45" s="15">
        <f t="shared" si="0"/>
        <v>3486</v>
      </c>
      <c r="J45" s="17">
        <f t="shared" si="1"/>
        <v>9.8558100084817649E-2</v>
      </c>
      <c r="K45" s="15">
        <v>35370</v>
      </c>
      <c r="L45" s="15">
        <v>34475</v>
      </c>
      <c r="M45" s="15">
        <v>216</v>
      </c>
      <c r="N45" s="2" t="s">
        <v>17</v>
      </c>
      <c r="O45" s="2" t="s">
        <v>45</v>
      </c>
      <c r="P45" s="2" t="s">
        <v>18</v>
      </c>
      <c r="Q45" s="20">
        <v>6915</v>
      </c>
      <c r="R45">
        <v>1032</v>
      </c>
      <c r="S45" s="38">
        <f t="shared" si="2"/>
        <v>0.50412147505422988</v>
      </c>
      <c r="V45" s="39"/>
    </row>
    <row r="46" spans="1:22" ht="14.25" customHeight="1" x14ac:dyDescent="0.3">
      <c r="A46" s="2" t="s">
        <v>82</v>
      </c>
      <c r="B46" s="2" t="s">
        <v>33</v>
      </c>
      <c r="C46" s="12">
        <v>45597</v>
      </c>
      <c r="D46" s="2" t="s">
        <v>50</v>
      </c>
      <c r="E46" s="2" t="s">
        <v>51</v>
      </c>
      <c r="F46" s="15">
        <v>3371</v>
      </c>
      <c r="G46" s="15">
        <v>106</v>
      </c>
      <c r="H46" s="15">
        <v>327</v>
      </c>
      <c r="I46" s="15">
        <f t="shared" si="0"/>
        <v>3804</v>
      </c>
      <c r="J46" s="17">
        <f t="shared" si="1"/>
        <v>7.5229902106199939E-2</v>
      </c>
      <c r="K46" s="15">
        <v>50565</v>
      </c>
      <c r="L46" s="15">
        <v>49816</v>
      </c>
      <c r="M46" s="15">
        <v>176</v>
      </c>
      <c r="N46" s="2" t="s">
        <v>54</v>
      </c>
      <c r="O46" s="2"/>
      <c r="P46" s="2" t="s">
        <v>43</v>
      </c>
      <c r="Q46" s="20">
        <v>35501</v>
      </c>
      <c r="R46">
        <v>76</v>
      </c>
      <c r="S46" s="38">
        <f t="shared" si="2"/>
        <v>0.10715191121376863</v>
      </c>
      <c r="V46" s="39"/>
    </row>
    <row r="47" spans="1:22" ht="14.25" customHeight="1" x14ac:dyDescent="0.3">
      <c r="A47" s="2" t="s">
        <v>83</v>
      </c>
      <c r="B47" s="2" t="s">
        <v>14</v>
      </c>
      <c r="C47" s="12">
        <v>45779</v>
      </c>
      <c r="D47" s="2" t="s">
        <v>50</v>
      </c>
      <c r="E47" s="2" t="s">
        <v>51</v>
      </c>
      <c r="F47" s="15">
        <v>1108</v>
      </c>
      <c r="G47" s="15">
        <v>177</v>
      </c>
      <c r="H47" s="15">
        <v>212</v>
      </c>
      <c r="I47" s="15">
        <f t="shared" si="0"/>
        <v>1497</v>
      </c>
      <c r="J47" s="17">
        <f t="shared" si="1"/>
        <v>0.16888537906137185</v>
      </c>
      <c r="K47" s="15">
        <v>8864</v>
      </c>
      <c r="L47" s="15">
        <v>8710</v>
      </c>
      <c r="M47" s="15">
        <v>97</v>
      </c>
      <c r="N47" s="2" t="s">
        <v>22</v>
      </c>
      <c r="O47" s="2"/>
      <c r="P47" s="2" t="s">
        <v>43</v>
      </c>
      <c r="Q47" s="20">
        <v>14203</v>
      </c>
      <c r="R47">
        <v>1058</v>
      </c>
      <c r="S47" s="38">
        <f t="shared" si="2"/>
        <v>0.10540026754910935</v>
      </c>
      <c r="V47" s="39"/>
    </row>
    <row r="48" spans="1:22" ht="14.25" customHeight="1" x14ac:dyDescent="0.3">
      <c r="A48" s="2" t="s">
        <v>84</v>
      </c>
      <c r="B48" s="2" t="s">
        <v>14</v>
      </c>
      <c r="C48" s="12">
        <v>45712</v>
      </c>
      <c r="D48" s="2" t="s">
        <v>34</v>
      </c>
      <c r="E48" s="2" t="s">
        <v>35</v>
      </c>
      <c r="F48" s="15">
        <v>2704</v>
      </c>
      <c r="G48" s="15">
        <v>752</v>
      </c>
      <c r="H48" s="15">
        <v>153</v>
      </c>
      <c r="I48" s="15">
        <f t="shared" si="0"/>
        <v>3609</v>
      </c>
      <c r="J48" s="17">
        <f t="shared" si="1"/>
        <v>0.16683616863905326</v>
      </c>
      <c r="K48" s="15">
        <v>21632</v>
      </c>
      <c r="L48" s="15">
        <v>20792</v>
      </c>
      <c r="M48" s="15">
        <v>127</v>
      </c>
      <c r="N48" s="2" t="s">
        <v>54</v>
      </c>
      <c r="O48" s="2" t="s">
        <v>22</v>
      </c>
      <c r="P48" s="2" t="s">
        <v>18</v>
      </c>
      <c r="Q48" s="20">
        <v>22206</v>
      </c>
      <c r="R48">
        <v>1665</v>
      </c>
      <c r="S48" s="38">
        <f t="shared" si="2"/>
        <v>0.16252364225884897</v>
      </c>
      <c r="V48" s="39"/>
    </row>
    <row r="49" spans="1:32" ht="14.25" customHeight="1" x14ac:dyDescent="0.3">
      <c r="A49" s="2" t="s">
        <v>85</v>
      </c>
      <c r="B49" s="2" t="s">
        <v>14</v>
      </c>
      <c r="C49" s="12">
        <v>45727</v>
      </c>
      <c r="D49" s="2" t="s">
        <v>28</v>
      </c>
      <c r="E49" s="2" t="s">
        <v>29</v>
      </c>
      <c r="F49" s="15">
        <v>1950</v>
      </c>
      <c r="G49" s="15">
        <v>295</v>
      </c>
      <c r="H49" s="15">
        <v>478</v>
      </c>
      <c r="I49" s="15">
        <f t="shared" si="0"/>
        <v>2723</v>
      </c>
      <c r="J49" s="17">
        <f t="shared" si="1"/>
        <v>7.349527665317139E-2</v>
      </c>
      <c r="K49" s="15">
        <v>37050</v>
      </c>
      <c r="L49" s="15">
        <v>36272</v>
      </c>
      <c r="M49" s="15">
        <v>119</v>
      </c>
      <c r="N49" s="2" t="s">
        <v>22</v>
      </c>
      <c r="O49" s="2" t="s">
        <v>45</v>
      </c>
      <c r="P49" s="2" t="s">
        <v>43</v>
      </c>
      <c r="Q49" s="20">
        <v>10283</v>
      </c>
      <c r="R49">
        <v>190</v>
      </c>
      <c r="S49" s="38">
        <f t="shared" si="2"/>
        <v>0.26480599046970726</v>
      </c>
      <c r="V49" s="39"/>
    </row>
    <row r="50" spans="1:32" ht="14.25" customHeight="1" x14ac:dyDescent="0.3">
      <c r="A50" s="2" t="s">
        <v>86</v>
      </c>
      <c r="B50" s="2" t="s">
        <v>14</v>
      </c>
      <c r="C50" s="12">
        <v>45453</v>
      </c>
      <c r="D50" s="2" t="s">
        <v>28</v>
      </c>
      <c r="E50" s="2" t="s">
        <v>29</v>
      </c>
      <c r="F50" s="15">
        <v>2164</v>
      </c>
      <c r="G50" s="15">
        <v>549</v>
      </c>
      <c r="H50" s="15">
        <v>274</v>
      </c>
      <c r="I50" s="15">
        <f t="shared" si="0"/>
        <v>2987</v>
      </c>
      <c r="J50" s="17">
        <f t="shared" si="1"/>
        <v>0.10617801791554102</v>
      </c>
      <c r="K50" s="15">
        <v>28132</v>
      </c>
      <c r="L50" s="15">
        <v>27361</v>
      </c>
      <c r="M50" s="15">
        <v>177</v>
      </c>
      <c r="N50" s="2" t="s">
        <v>45</v>
      </c>
      <c r="O50" s="2"/>
      <c r="P50" s="2" t="s">
        <v>18</v>
      </c>
      <c r="Q50" s="20">
        <v>24913</v>
      </c>
      <c r="R50">
        <v>1609</v>
      </c>
      <c r="S50" s="38">
        <f t="shared" si="2"/>
        <v>0.11989724240356441</v>
      </c>
      <c r="V50" s="39"/>
    </row>
    <row r="51" spans="1:32" ht="14.25" customHeight="1" x14ac:dyDescent="0.3">
      <c r="A51" s="2" t="s">
        <v>87</v>
      </c>
      <c r="B51" s="2" t="s">
        <v>25</v>
      </c>
      <c r="C51" s="12">
        <v>45476</v>
      </c>
      <c r="D51" s="2" t="s">
        <v>28</v>
      </c>
      <c r="E51" s="2" t="s">
        <v>29</v>
      </c>
      <c r="F51" s="15">
        <v>2754</v>
      </c>
      <c r="G51" s="15">
        <v>130</v>
      </c>
      <c r="H51" s="15">
        <v>90</v>
      </c>
      <c r="I51" s="15">
        <f t="shared" si="0"/>
        <v>2974</v>
      </c>
      <c r="J51" s="17">
        <f t="shared" si="1"/>
        <v>0.13498547567175018</v>
      </c>
      <c r="K51" s="15">
        <v>22032</v>
      </c>
      <c r="L51" s="15">
        <v>21288</v>
      </c>
      <c r="M51" s="15">
        <v>112</v>
      </c>
      <c r="N51" s="2" t="s">
        <v>22</v>
      </c>
      <c r="O51" s="2"/>
      <c r="P51" s="2" t="s">
        <v>18</v>
      </c>
      <c r="Q51" s="20">
        <v>26925</v>
      </c>
      <c r="R51">
        <v>37</v>
      </c>
      <c r="S51" s="38">
        <f t="shared" si="2"/>
        <v>0.11045496750232127</v>
      </c>
      <c r="V51" s="39"/>
    </row>
    <row r="52" spans="1:32" ht="14.25" customHeight="1" x14ac:dyDescent="0.3">
      <c r="A52" s="2" t="s">
        <v>88</v>
      </c>
      <c r="B52" s="2" t="s">
        <v>33</v>
      </c>
      <c r="C52" s="12">
        <v>45456</v>
      </c>
      <c r="D52" s="2" t="s">
        <v>34</v>
      </c>
      <c r="E52" s="2" t="s">
        <v>35</v>
      </c>
      <c r="F52" s="15">
        <v>2200</v>
      </c>
      <c r="G52" s="15">
        <v>504</v>
      </c>
      <c r="H52" s="15">
        <v>239</v>
      </c>
      <c r="I52" s="15">
        <f t="shared" si="0"/>
        <v>2943</v>
      </c>
      <c r="J52" s="17">
        <f t="shared" si="1"/>
        <v>7.8689839572192513E-2</v>
      </c>
      <c r="K52" s="15">
        <v>37400</v>
      </c>
      <c r="L52" s="15">
        <v>36938</v>
      </c>
      <c r="M52" s="15">
        <v>225</v>
      </c>
      <c r="N52" s="2" t="s">
        <v>17</v>
      </c>
      <c r="O52" s="2"/>
      <c r="P52" s="2" t="s">
        <v>31</v>
      </c>
      <c r="Q52" s="20">
        <v>9942</v>
      </c>
      <c r="R52">
        <v>1229</v>
      </c>
      <c r="S52" s="38">
        <f t="shared" si="2"/>
        <v>0.29601689800844899</v>
      </c>
      <c r="V52" s="39"/>
    </row>
    <row r="53" spans="1:32" ht="14.25" customHeight="1" x14ac:dyDescent="0.3">
      <c r="A53" s="2" t="s">
        <v>89</v>
      </c>
      <c r="B53" s="2" t="s">
        <v>33</v>
      </c>
      <c r="C53" s="12">
        <v>45660</v>
      </c>
      <c r="D53" s="2" t="s">
        <v>39</v>
      </c>
      <c r="E53" s="2" t="s">
        <v>40</v>
      </c>
      <c r="F53" s="15">
        <v>947</v>
      </c>
      <c r="G53" s="15">
        <v>338</v>
      </c>
      <c r="H53" s="15">
        <v>350</v>
      </c>
      <c r="I53" s="15">
        <f t="shared" si="0"/>
        <v>1635</v>
      </c>
      <c r="J53" s="17">
        <f t="shared" si="1"/>
        <v>0.1569549774407219</v>
      </c>
      <c r="K53" s="15">
        <v>10417</v>
      </c>
      <c r="L53" s="15">
        <v>9730</v>
      </c>
      <c r="M53" s="15">
        <v>34</v>
      </c>
      <c r="N53" s="2" t="s">
        <v>22</v>
      </c>
      <c r="O53" s="2" t="s">
        <v>17</v>
      </c>
      <c r="P53" s="2" t="s">
        <v>31</v>
      </c>
      <c r="Q53" s="20">
        <v>32929</v>
      </c>
      <c r="R53">
        <v>28</v>
      </c>
      <c r="S53" s="38">
        <f t="shared" si="2"/>
        <v>4.9652282182878316E-2</v>
      </c>
      <c r="V53" s="39"/>
    </row>
    <row r="54" spans="1:32" ht="28.8" x14ac:dyDescent="0.55000000000000004">
      <c r="A54" s="2" t="s">
        <v>90</v>
      </c>
      <c r="B54" s="2" t="s">
        <v>25</v>
      </c>
      <c r="C54" s="12">
        <v>45712</v>
      </c>
      <c r="D54" s="2" t="s">
        <v>34</v>
      </c>
      <c r="E54" s="2" t="s">
        <v>35</v>
      </c>
      <c r="F54" s="15">
        <v>804</v>
      </c>
      <c r="G54" s="15">
        <v>639</v>
      </c>
      <c r="H54" s="15">
        <v>43</v>
      </c>
      <c r="I54" s="15">
        <f t="shared" si="0"/>
        <v>1486</v>
      </c>
      <c r="J54" s="17">
        <f t="shared" si="1"/>
        <v>0.36965174129353234</v>
      </c>
      <c r="K54" s="15">
        <v>4020</v>
      </c>
      <c r="L54" s="15">
        <v>3144</v>
      </c>
      <c r="M54" s="15">
        <v>11</v>
      </c>
      <c r="N54" s="2" t="s">
        <v>45</v>
      </c>
      <c r="O54" s="2" t="s">
        <v>36</v>
      </c>
      <c r="P54" s="2" t="s">
        <v>43</v>
      </c>
      <c r="Q54" s="20">
        <v>37829</v>
      </c>
      <c r="R54">
        <v>1247</v>
      </c>
      <c r="S54" s="38">
        <f t="shared" si="2"/>
        <v>3.9282032303259405E-2</v>
      </c>
      <c r="V54" s="39"/>
      <c r="AB54" s="43" t="s">
        <v>384</v>
      </c>
      <c r="AC54" s="42"/>
      <c r="AD54" s="42"/>
      <c r="AE54" s="42"/>
      <c r="AF54" s="42"/>
    </row>
    <row r="55" spans="1:32" ht="14.25" customHeight="1" x14ac:dyDescent="0.3">
      <c r="A55" s="2" t="s">
        <v>91</v>
      </c>
      <c r="B55" s="2" t="s">
        <v>25</v>
      </c>
      <c r="C55" s="12">
        <v>45729</v>
      </c>
      <c r="D55" s="2" t="s">
        <v>34</v>
      </c>
      <c r="E55" s="2" t="s">
        <v>35</v>
      </c>
      <c r="F55" s="15">
        <v>1686</v>
      </c>
      <c r="G55" s="15">
        <v>904</v>
      </c>
      <c r="H55" s="15">
        <v>472</v>
      </c>
      <c r="I55" s="15">
        <f t="shared" si="0"/>
        <v>3062</v>
      </c>
      <c r="J55" s="17">
        <f t="shared" si="1"/>
        <v>0.16510298716704411</v>
      </c>
      <c r="K55" s="15">
        <v>18546</v>
      </c>
      <c r="L55" s="15">
        <v>18171</v>
      </c>
      <c r="M55" s="15">
        <v>52</v>
      </c>
      <c r="N55" s="2" t="s">
        <v>22</v>
      </c>
      <c r="O55" s="2" t="s">
        <v>54</v>
      </c>
      <c r="P55" s="2" t="s">
        <v>23</v>
      </c>
      <c r="Q55" s="20">
        <v>24384</v>
      </c>
      <c r="R55">
        <v>1045</v>
      </c>
      <c r="S55" s="38">
        <f t="shared" si="2"/>
        <v>0.1255741469816273</v>
      </c>
      <c r="V55" s="39"/>
    </row>
    <row r="56" spans="1:32" ht="14.25" customHeight="1" x14ac:dyDescent="0.3">
      <c r="A56" s="2" t="s">
        <v>92</v>
      </c>
      <c r="B56" s="2" t="s">
        <v>33</v>
      </c>
      <c r="C56" s="12">
        <v>45460</v>
      </c>
      <c r="D56" s="2" t="s">
        <v>39</v>
      </c>
      <c r="E56" s="2" t="s">
        <v>40</v>
      </c>
      <c r="F56" s="15">
        <v>1226</v>
      </c>
      <c r="G56" s="15">
        <v>119</v>
      </c>
      <c r="H56" s="15">
        <v>7</v>
      </c>
      <c r="I56" s="15">
        <f t="shared" si="0"/>
        <v>1352</v>
      </c>
      <c r="J56" s="17">
        <f t="shared" si="1"/>
        <v>9.1897770527460579E-2</v>
      </c>
      <c r="K56" s="15">
        <v>14712</v>
      </c>
      <c r="L56" s="15">
        <v>14049</v>
      </c>
      <c r="M56" s="15">
        <v>123</v>
      </c>
      <c r="N56" s="2" t="s">
        <v>17</v>
      </c>
      <c r="O56" s="2" t="s">
        <v>36</v>
      </c>
      <c r="P56" s="2" t="s">
        <v>43</v>
      </c>
      <c r="Q56" s="20">
        <v>25797</v>
      </c>
      <c r="R56">
        <v>197</v>
      </c>
      <c r="S56" s="38">
        <f t="shared" si="2"/>
        <v>5.2409194867620267E-2</v>
      </c>
      <c r="V56" s="39"/>
    </row>
    <row r="57" spans="1:32" ht="14.25" customHeight="1" x14ac:dyDescent="0.3">
      <c r="A57" s="2" t="s">
        <v>93</v>
      </c>
      <c r="B57" s="2" t="s">
        <v>33</v>
      </c>
      <c r="C57" s="12">
        <v>45644</v>
      </c>
      <c r="D57" s="2" t="s">
        <v>34</v>
      </c>
      <c r="E57" s="2" t="s">
        <v>35</v>
      </c>
      <c r="F57" s="15">
        <v>2946</v>
      </c>
      <c r="G57" s="15">
        <v>498</v>
      </c>
      <c r="H57" s="15">
        <v>367</v>
      </c>
      <c r="I57" s="15">
        <f t="shared" si="0"/>
        <v>3811</v>
      </c>
      <c r="J57" s="17">
        <f t="shared" si="1"/>
        <v>0.12936184657162253</v>
      </c>
      <c r="K57" s="15">
        <v>29460</v>
      </c>
      <c r="L57" s="15">
        <v>28527</v>
      </c>
      <c r="M57" s="15">
        <v>60</v>
      </c>
      <c r="N57" s="2" t="s">
        <v>45</v>
      </c>
      <c r="O57" s="2" t="s">
        <v>54</v>
      </c>
      <c r="P57" s="2" t="s">
        <v>23</v>
      </c>
      <c r="Q57" s="20">
        <v>12646</v>
      </c>
      <c r="R57">
        <v>333</v>
      </c>
      <c r="S57" s="38">
        <f t="shared" si="2"/>
        <v>0.30136011386999839</v>
      </c>
      <c r="V57" s="39"/>
    </row>
    <row r="58" spans="1:32" ht="14.25" customHeight="1" x14ac:dyDescent="0.3">
      <c r="A58" s="2" t="s">
        <v>94</v>
      </c>
      <c r="B58" s="2" t="s">
        <v>14</v>
      </c>
      <c r="C58" s="12">
        <v>45586</v>
      </c>
      <c r="D58" s="2" t="s">
        <v>50</v>
      </c>
      <c r="E58" s="2" t="s">
        <v>51</v>
      </c>
      <c r="F58" s="15">
        <v>2825</v>
      </c>
      <c r="G58" s="15">
        <v>535</v>
      </c>
      <c r="H58" s="15">
        <v>295</v>
      </c>
      <c r="I58" s="15">
        <f t="shared" si="0"/>
        <v>3655</v>
      </c>
      <c r="J58" s="17">
        <f t="shared" si="1"/>
        <v>8.0862831858407078E-2</v>
      </c>
      <c r="K58" s="15">
        <v>45200</v>
      </c>
      <c r="L58" s="15">
        <v>44739</v>
      </c>
      <c r="M58" s="15">
        <v>169</v>
      </c>
      <c r="N58" s="2" t="s">
        <v>45</v>
      </c>
      <c r="O58" s="2"/>
      <c r="P58" s="2" t="s">
        <v>23</v>
      </c>
      <c r="Q58" s="20">
        <v>26663</v>
      </c>
      <c r="R58">
        <v>1572</v>
      </c>
      <c r="S58" s="38">
        <f t="shared" si="2"/>
        <v>0.13708134868544425</v>
      </c>
      <c r="V58" s="39"/>
    </row>
    <row r="59" spans="1:32" ht="14.25" customHeight="1" x14ac:dyDescent="0.3">
      <c r="A59" s="2" t="s">
        <v>95</v>
      </c>
      <c r="B59" s="2" t="s">
        <v>27</v>
      </c>
      <c r="C59" s="12">
        <v>45762</v>
      </c>
      <c r="D59" s="2" t="s">
        <v>15</v>
      </c>
      <c r="E59" s="2" t="s">
        <v>16</v>
      </c>
      <c r="F59" s="15">
        <v>103</v>
      </c>
      <c r="G59" s="15">
        <v>770</v>
      </c>
      <c r="H59" s="15">
        <v>19</v>
      </c>
      <c r="I59" s="15">
        <f t="shared" si="0"/>
        <v>892</v>
      </c>
      <c r="J59" s="17">
        <f t="shared" si="1"/>
        <v>0.86601941747572819</v>
      </c>
      <c r="K59" s="15">
        <v>1030</v>
      </c>
      <c r="L59" s="15">
        <v>410</v>
      </c>
      <c r="M59" s="15">
        <v>262</v>
      </c>
      <c r="N59" s="2" t="s">
        <v>17</v>
      </c>
      <c r="O59" s="2"/>
      <c r="P59" s="2" t="s">
        <v>31</v>
      </c>
      <c r="Q59" s="20">
        <v>40478</v>
      </c>
      <c r="R59">
        <v>1428</v>
      </c>
      <c r="S59" s="38">
        <f t="shared" si="2"/>
        <v>2.2036661890409606E-2</v>
      </c>
      <c r="V59" s="39"/>
    </row>
    <row r="60" spans="1:32" ht="14.25" customHeight="1" x14ac:dyDescent="0.3">
      <c r="A60" s="2" t="s">
        <v>96</v>
      </c>
      <c r="B60" s="2" t="s">
        <v>27</v>
      </c>
      <c r="C60" s="12">
        <v>45465</v>
      </c>
      <c r="D60" s="2" t="s">
        <v>20</v>
      </c>
      <c r="E60" s="2" t="s">
        <v>21</v>
      </c>
      <c r="F60" s="15">
        <v>2180</v>
      </c>
      <c r="G60" s="15">
        <v>263</v>
      </c>
      <c r="H60" s="15">
        <v>387</v>
      </c>
      <c r="I60" s="15">
        <f t="shared" si="0"/>
        <v>2830</v>
      </c>
      <c r="J60" s="17">
        <f t="shared" si="1"/>
        <v>9.2726081258191345E-2</v>
      </c>
      <c r="K60" s="15">
        <v>30520</v>
      </c>
      <c r="L60" s="15">
        <v>30059</v>
      </c>
      <c r="M60" s="15">
        <v>174</v>
      </c>
      <c r="N60" s="2" t="s">
        <v>54</v>
      </c>
      <c r="O60" s="2"/>
      <c r="P60" s="2" t="s">
        <v>18</v>
      </c>
      <c r="Q60" s="20">
        <v>15476</v>
      </c>
      <c r="R60">
        <v>260</v>
      </c>
      <c r="S60" s="38">
        <f t="shared" si="2"/>
        <v>0.18286378909278883</v>
      </c>
      <c r="V60" s="39"/>
    </row>
    <row r="61" spans="1:32" ht="14.25" customHeight="1" x14ac:dyDescent="0.3">
      <c r="A61" s="2" t="s">
        <v>97</v>
      </c>
      <c r="B61" s="2" t="s">
        <v>27</v>
      </c>
      <c r="C61" s="12">
        <v>45685</v>
      </c>
      <c r="D61" s="2" t="s">
        <v>50</v>
      </c>
      <c r="E61" s="2" t="s">
        <v>51</v>
      </c>
      <c r="F61" s="15">
        <v>904</v>
      </c>
      <c r="G61" s="15">
        <v>973</v>
      </c>
      <c r="H61" s="15">
        <v>63</v>
      </c>
      <c r="I61" s="15">
        <f t="shared" si="0"/>
        <v>1940</v>
      </c>
      <c r="J61" s="17">
        <f t="shared" si="1"/>
        <v>0.1650782845473111</v>
      </c>
      <c r="K61" s="15">
        <v>11752</v>
      </c>
      <c r="L61" s="15">
        <v>11580</v>
      </c>
      <c r="M61" s="15">
        <v>84</v>
      </c>
      <c r="N61" s="2" t="s">
        <v>45</v>
      </c>
      <c r="O61" s="2"/>
      <c r="P61" s="2" t="s">
        <v>18</v>
      </c>
      <c r="Q61" s="20">
        <v>10217</v>
      </c>
      <c r="R61">
        <v>1100</v>
      </c>
      <c r="S61" s="38">
        <f t="shared" si="2"/>
        <v>0.18987961241068807</v>
      </c>
      <c r="V61" s="39"/>
    </row>
    <row r="62" spans="1:32" ht="14.25" customHeight="1" x14ac:dyDescent="0.3">
      <c r="A62" s="2" t="s">
        <v>98</v>
      </c>
      <c r="B62" s="2" t="s">
        <v>14</v>
      </c>
      <c r="C62" s="12">
        <v>45540</v>
      </c>
      <c r="D62" s="2" t="s">
        <v>50</v>
      </c>
      <c r="E62" s="2" t="s">
        <v>51</v>
      </c>
      <c r="F62" s="15">
        <v>4886</v>
      </c>
      <c r="G62" s="15">
        <v>983</v>
      </c>
      <c r="H62" s="15">
        <v>409</v>
      </c>
      <c r="I62" s="15">
        <f t="shared" si="0"/>
        <v>6278</v>
      </c>
      <c r="J62" s="17">
        <f t="shared" si="1"/>
        <v>0.14276618001546368</v>
      </c>
      <c r="K62" s="15">
        <v>43974</v>
      </c>
      <c r="L62" s="15">
        <v>43239</v>
      </c>
      <c r="M62" s="15">
        <v>65</v>
      </c>
      <c r="N62" s="2" t="s">
        <v>22</v>
      </c>
      <c r="O62" s="2"/>
      <c r="P62" s="2" t="s">
        <v>18</v>
      </c>
      <c r="Q62" s="20">
        <v>21939</v>
      </c>
      <c r="R62">
        <v>377</v>
      </c>
      <c r="S62" s="38">
        <f t="shared" si="2"/>
        <v>0.28615707188112494</v>
      </c>
      <c r="V62" s="39"/>
    </row>
    <row r="63" spans="1:32" ht="14.25" customHeight="1" x14ac:dyDescent="0.3">
      <c r="A63" s="2" t="s">
        <v>99</v>
      </c>
      <c r="B63" s="2" t="s">
        <v>14</v>
      </c>
      <c r="C63" s="12">
        <v>45618</v>
      </c>
      <c r="D63" s="2" t="s">
        <v>34</v>
      </c>
      <c r="E63" s="2" t="s">
        <v>35</v>
      </c>
      <c r="F63" s="15">
        <v>53</v>
      </c>
      <c r="G63" s="15">
        <v>81</v>
      </c>
      <c r="H63" s="15">
        <v>379</v>
      </c>
      <c r="I63" s="15">
        <f t="shared" si="0"/>
        <v>513</v>
      </c>
      <c r="J63" s="17">
        <f t="shared" si="1"/>
        <v>0.53773584905660377</v>
      </c>
      <c r="K63" s="15">
        <v>954</v>
      </c>
      <c r="L63" s="15">
        <v>7</v>
      </c>
      <c r="M63" s="15">
        <v>148</v>
      </c>
      <c r="N63" s="2" t="s">
        <v>54</v>
      </c>
      <c r="O63" s="2"/>
      <c r="P63" s="2" t="s">
        <v>31</v>
      </c>
      <c r="Q63" s="20">
        <v>47462</v>
      </c>
      <c r="R63">
        <v>98</v>
      </c>
      <c r="S63" s="38">
        <f t="shared" si="2"/>
        <v>1.0808646917534028E-2</v>
      </c>
      <c r="V63" s="39"/>
    </row>
    <row r="64" spans="1:32" ht="14.25" customHeight="1" x14ac:dyDescent="0.3">
      <c r="A64" s="2" t="s">
        <v>100</v>
      </c>
      <c r="B64" s="2" t="s">
        <v>14</v>
      </c>
      <c r="C64" s="12">
        <v>45504</v>
      </c>
      <c r="D64" s="2" t="s">
        <v>34</v>
      </c>
      <c r="E64" s="2" t="s">
        <v>35</v>
      </c>
      <c r="F64" s="15">
        <v>4507</v>
      </c>
      <c r="G64" s="15">
        <v>217</v>
      </c>
      <c r="H64" s="15">
        <v>13</v>
      </c>
      <c r="I64" s="15">
        <f t="shared" si="0"/>
        <v>4737</v>
      </c>
      <c r="J64" s="17">
        <f t="shared" si="1"/>
        <v>5.2551586421122697E-2</v>
      </c>
      <c r="K64" s="15">
        <v>90140</v>
      </c>
      <c r="L64" s="15">
        <v>89591</v>
      </c>
      <c r="M64" s="15">
        <v>125</v>
      </c>
      <c r="N64" s="2" t="s">
        <v>17</v>
      </c>
      <c r="O64" s="2"/>
      <c r="P64" s="2" t="s">
        <v>18</v>
      </c>
      <c r="Q64" s="20">
        <v>30270</v>
      </c>
      <c r="R64">
        <v>1125</v>
      </c>
      <c r="S64" s="38">
        <f t="shared" si="2"/>
        <v>0.15649157581764123</v>
      </c>
      <c r="V64" s="39"/>
    </row>
    <row r="65" spans="1:28" ht="14.25" customHeight="1" x14ac:dyDescent="0.3">
      <c r="A65" s="2" t="s">
        <v>101</v>
      </c>
      <c r="B65" s="2" t="s">
        <v>33</v>
      </c>
      <c r="C65" s="12">
        <v>45521</v>
      </c>
      <c r="D65" s="2" t="s">
        <v>39</v>
      </c>
      <c r="E65" s="2" t="s">
        <v>40</v>
      </c>
      <c r="F65" s="15">
        <v>2878</v>
      </c>
      <c r="G65" s="15">
        <v>248</v>
      </c>
      <c r="H65" s="15">
        <v>416</v>
      </c>
      <c r="I65" s="15">
        <f t="shared" si="0"/>
        <v>3542</v>
      </c>
      <c r="J65" s="17">
        <f t="shared" si="1"/>
        <v>8.2047718322909427E-2</v>
      </c>
      <c r="K65" s="15">
        <v>43170</v>
      </c>
      <c r="L65" s="15">
        <v>42667</v>
      </c>
      <c r="M65" s="15">
        <v>75</v>
      </c>
      <c r="N65" s="2" t="s">
        <v>54</v>
      </c>
      <c r="O65" s="2" t="s">
        <v>36</v>
      </c>
      <c r="P65" s="2" t="s">
        <v>23</v>
      </c>
      <c r="Q65" s="20">
        <v>5442</v>
      </c>
      <c r="R65">
        <v>-32</v>
      </c>
      <c r="S65" s="38">
        <f t="shared" si="2"/>
        <v>0.65086365306872473</v>
      </c>
      <c r="V65" s="39"/>
    </row>
    <row r="66" spans="1:28" ht="14.25" customHeight="1" x14ac:dyDescent="0.3">
      <c r="A66" s="2" t="s">
        <v>102</v>
      </c>
      <c r="B66" s="2" t="s">
        <v>27</v>
      </c>
      <c r="C66" s="12">
        <v>45744</v>
      </c>
      <c r="D66" s="2" t="s">
        <v>28</v>
      </c>
      <c r="E66" s="2" t="s">
        <v>29</v>
      </c>
      <c r="F66" s="15">
        <v>1881</v>
      </c>
      <c r="G66" s="15">
        <v>501</v>
      </c>
      <c r="H66" s="15">
        <v>99</v>
      </c>
      <c r="I66" s="15">
        <f t="shared" si="0"/>
        <v>2481</v>
      </c>
      <c r="J66" s="17">
        <f t="shared" si="1"/>
        <v>0.11990720603160794</v>
      </c>
      <c r="K66" s="15">
        <v>20691</v>
      </c>
      <c r="L66" s="15">
        <v>19987</v>
      </c>
      <c r="M66" s="15">
        <v>289</v>
      </c>
      <c r="N66" s="2" t="s">
        <v>54</v>
      </c>
      <c r="O66" s="2"/>
      <c r="P66" s="2" t="s">
        <v>23</v>
      </c>
      <c r="Q66" s="20">
        <v>1083</v>
      </c>
      <c r="R66">
        <v>666</v>
      </c>
      <c r="S66" s="38">
        <f t="shared" si="2"/>
        <v>2.290858725761773</v>
      </c>
      <c r="V66" s="39"/>
    </row>
    <row r="67" spans="1:28" ht="14.25" customHeight="1" x14ac:dyDescent="0.3">
      <c r="A67" s="2" t="s">
        <v>103</v>
      </c>
      <c r="B67" s="2" t="s">
        <v>14</v>
      </c>
      <c r="C67" s="12">
        <v>45499</v>
      </c>
      <c r="D67" s="2" t="s">
        <v>34</v>
      </c>
      <c r="E67" s="2" t="s">
        <v>35</v>
      </c>
      <c r="F67" s="15">
        <v>432</v>
      </c>
      <c r="G67" s="15">
        <v>171</v>
      </c>
      <c r="H67" s="15">
        <v>280</v>
      </c>
      <c r="I67" s="15">
        <f t="shared" ref="I67:I130" si="3">SUM(F67+G67+H67)</f>
        <v>883</v>
      </c>
      <c r="J67" s="17">
        <f t="shared" ref="J67:J130" si="4">(F67+G67+H67)/K67</f>
        <v>0.29199735449735448</v>
      </c>
      <c r="K67" s="15">
        <v>3024</v>
      </c>
      <c r="L67" s="15">
        <v>2285</v>
      </c>
      <c r="M67" s="15">
        <v>184</v>
      </c>
      <c r="N67" s="2" t="s">
        <v>22</v>
      </c>
      <c r="O67" s="2"/>
      <c r="P67" s="2" t="s">
        <v>31</v>
      </c>
      <c r="Q67" s="20">
        <v>11901</v>
      </c>
      <c r="R67">
        <v>-19</v>
      </c>
      <c r="S67" s="38">
        <f t="shared" ref="S67:S130" si="5">I67/Q67</f>
        <v>7.4195445760860429E-2</v>
      </c>
      <c r="V67" s="18" t="s">
        <v>360</v>
      </c>
      <c r="W67" t="s">
        <v>375</v>
      </c>
      <c r="X67" t="s">
        <v>376</v>
      </c>
      <c r="Y67" t="s">
        <v>377</v>
      </c>
      <c r="Z67" t="s">
        <v>380</v>
      </c>
      <c r="AA67" t="s">
        <v>379</v>
      </c>
      <c r="AB67" t="s">
        <v>378</v>
      </c>
    </row>
    <row r="68" spans="1:28" ht="14.25" customHeight="1" x14ac:dyDescent="0.3">
      <c r="A68" s="2" t="s">
        <v>104</v>
      </c>
      <c r="B68" s="2" t="s">
        <v>33</v>
      </c>
      <c r="C68" s="12">
        <v>45745</v>
      </c>
      <c r="D68" s="2" t="s">
        <v>34</v>
      </c>
      <c r="E68" s="2" t="s">
        <v>35</v>
      </c>
      <c r="F68" s="15">
        <v>4712</v>
      </c>
      <c r="G68" s="15">
        <v>568</v>
      </c>
      <c r="H68" s="15">
        <v>127</v>
      </c>
      <c r="I68" s="15">
        <f t="shared" si="3"/>
        <v>5407</v>
      </c>
      <c r="J68" s="17">
        <f t="shared" si="4"/>
        <v>6.3749764195434822E-2</v>
      </c>
      <c r="K68" s="15">
        <v>84816</v>
      </c>
      <c r="L68" s="15">
        <v>84691</v>
      </c>
      <c r="M68" s="15">
        <v>100</v>
      </c>
      <c r="N68" s="2" t="s">
        <v>54</v>
      </c>
      <c r="O68" s="2"/>
      <c r="P68" s="2" t="s">
        <v>18</v>
      </c>
      <c r="Q68" s="20">
        <v>24018</v>
      </c>
      <c r="R68">
        <v>1680</v>
      </c>
      <c r="S68" s="38">
        <f t="shared" si="5"/>
        <v>0.22512282454825547</v>
      </c>
      <c r="V68" s="19" t="s">
        <v>23</v>
      </c>
      <c r="W68">
        <v>20185</v>
      </c>
      <c r="X68">
        <v>18337</v>
      </c>
      <c r="Y68" s="40">
        <v>0.10077984403119376</v>
      </c>
      <c r="Z68">
        <v>20185</v>
      </c>
      <c r="AA68">
        <v>18337</v>
      </c>
      <c r="AB68" s="40">
        <v>0.10077984403119376</v>
      </c>
    </row>
    <row r="69" spans="1:28" ht="14.25" customHeight="1" x14ac:dyDescent="0.3">
      <c r="A69" s="2" t="s">
        <v>105</v>
      </c>
      <c r="B69" s="2" t="s">
        <v>27</v>
      </c>
      <c r="C69" s="12">
        <v>45634</v>
      </c>
      <c r="D69" s="2" t="s">
        <v>28</v>
      </c>
      <c r="E69" s="2" t="s">
        <v>29</v>
      </c>
      <c r="F69" s="15">
        <v>2610</v>
      </c>
      <c r="G69" s="15">
        <v>126</v>
      </c>
      <c r="H69" s="15">
        <v>288</v>
      </c>
      <c r="I69" s="15">
        <f t="shared" si="3"/>
        <v>3024</v>
      </c>
      <c r="J69" s="17">
        <f t="shared" si="4"/>
        <v>0.19310344827586207</v>
      </c>
      <c r="K69" s="15">
        <v>15660</v>
      </c>
      <c r="L69" s="15">
        <v>15145</v>
      </c>
      <c r="M69" s="15">
        <v>73</v>
      </c>
      <c r="N69" s="2" t="s">
        <v>22</v>
      </c>
      <c r="O69" s="2"/>
      <c r="P69" s="2" t="s">
        <v>18</v>
      </c>
      <c r="Q69" s="20">
        <v>38883</v>
      </c>
      <c r="R69">
        <v>1006</v>
      </c>
      <c r="S69" s="38">
        <f t="shared" si="5"/>
        <v>7.7771776869068748E-2</v>
      </c>
      <c r="V69" s="19" t="s">
        <v>18</v>
      </c>
      <c r="W69">
        <v>29029</v>
      </c>
      <c r="X69">
        <v>67773</v>
      </c>
      <c r="Y69" s="40">
        <v>-0.57167308515190418</v>
      </c>
      <c r="Z69">
        <v>29029</v>
      </c>
      <c r="AA69">
        <v>67773</v>
      </c>
      <c r="AB69" s="40">
        <v>-0.57167308515190418</v>
      </c>
    </row>
    <row r="70" spans="1:28" ht="14.25" customHeight="1" x14ac:dyDescent="0.3">
      <c r="A70" s="2" t="s">
        <v>106</v>
      </c>
      <c r="B70" s="2" t="s">
        <v>14</v>
      </c>
      <c r="C70" s="12">
        <v>45724</v>
      </c>
      <c r="D70" s="2" t="s">
        <v>20</v>
      </c>
      <c r="E70" s="2" t="s">
        <v>21</v>
      </c>
      <c r="F70" s="15">
        <v>1292</v>
      </c>
      <c r="G70" s="15">
        <v>626</v>
      </c>
      <c r="H70" s="15">
        <v>496</v>
      </c>
      <c r="I70" s="15">
        <f t="shared" si="3"/>
        <v>2414</v>
      </c>
      <c r="J70" s="17">
        <f t="shared" si="4"/>
        <v>9.3421052631578946E-2</v>
      </c>
      <c r="K70" s="15">
        <v>25840</v>
      </c>
      <c r="L70" s="15">
        <v>24916</v>
      </c>
      <c r="M70" s="15">
        <v>149</v>
      </c>
      <c r="N70" s="2" t="s">
        <v>45</v>
      </c>
      <c r="O70" s="2" t="s">
        <v>36</v>
      </c>
      <c r="P70" s="2" t="s">
        <v>43</v>
      </c>
      <c r="Q70" s="20">
        <v>30575</v>
      </c>
      <c r="R70">
        <v>1025</v>
      </c>
      <c r="S70" s="38">
        <f t="shared" si="5"/>
        <v>7.8953393295175797E-2</v>
      </c>
      <c r="V70" s="19" t="s">
        <v>31</v>
      </c>
      <c r="W70">
        <v>25499</v>
      </c>
      <c r="X70">
        <v>95022</v>
      </c>
      <c r="Y70" s="40">
        <v>-0.73165161752015317</v>
      </c>
      <c r="Z70">
        <v>25499</v>
      </c>
      <c r="AA70">
        <v>95022</v>
      </c>
      <c r="AB70" s="40">
        <v>-0.73165161752015317</v>
      </c>
    </row>
    <row r="71" spans="1:28" ht="14.25" customHeight="1" x14ac:dyDescent="0.3">
      <c r="A71" s="2" t="s">
        <v>107</v>
      </c>
      <c r="B71" s="2" t="s">
        <v>33</v>
      </c>
      <c r="C71" s="12">
        <v>45749</v>
      </c>
      <c r="D71" s="2" t="s">
        <v>50</v>
      </c>
      <c r="E71" s="2" t="s">
        <v>51</v>
      </c>
      <c r="F71" s="15">
        <v>199</v>
      </c>
      <c r="G71" s="15">
        <v>772</v>
      </c>
      <c r="H71" s="15">
        <v>400</v>
      </c>
      <c r="I71" s="15">
        <f t="shared" si="3"/>
        <v>1371</v>
      </c>
      <c r="J71" s="17">
        <f t="shared" si="4"/>
        <v>0.38274706867671693</v>
      </c>
      <c r="K71" s="15">
        <v>3582</v>
      </c>
      <c r="L71" s="15">
        <v>2988</v>
      </c>
      <c r="M71" s="15">
        <v>43</v>
      </c>
      <c r="N71" s="2" t="s">
        <v>36</v>
      </c>
      <c r="O71" s="2"/>
      <c r="P71" s="2" t="s">
        <v>18</v>
      </c>
      <c r="Q71" s="20">
        <v>2315</v>
      </c>
      <c r="R71">
        <v>-179</v>
      </c>
      <c r="S71" s="38">
        <f t="shared" si="5"/>
        <v>0.59222462203023762</v>
      </c>
      <c r="V71" s="19" t="s">
        <v>43</v>
      </c>
      <c r="W71">
        <v>16716</v>
      </c>
      <c r="X71">
        <v>133833</v>
      </c>
      <c r="Y71" s="40">
        <v>-0.87509806998273965</v>
      </c>
      <c r="Z71">
        <v>16716</v>
      </c>
      <c r="AA71">
        <v>133833</v>
      </c>
      <c r="AB71" s="40">
        <v>-0.87509806998273965</v>
      </c>
    </row>
    <row r="72" spans="1:28" ht="14.25" customHeight="1" x14ac:dyDescent="0.3">
      <c r="A72" s="2" t="s">
        <v>108</v>
      </c>
      <c r="B72" s="2" t="s">
        <v>25</v>
      </c>
      <c r="C72" s="12">
        <v>45537</v>
      </c>
      <c r="D72" s="2" t="s">
        <v>34</v>
      </c>
      <c r="E72" s="2" t="s">
        <v>35</v>
      </c>
      <c r="F72" s="15">
        <v>2551</v>
      </c>
      <c r="G72" s="15">
        <v>915</v>
      </c>
      <c r="H72" s="15">
        <v>205</v>
      </c>
      <c r="I72" s="15">
        <f t="shared" si="3"/>
        <v>3671</v>
      </c>
      <c r="J72" s="17">
        <f t="shared" si="4"/>
        <v>0.1199202926956749</v>
      </c>
      <c r="K72" s="15">
        <v>30612</v>
      </c>
      <c r="L72" s="15">
        <v>30360</v>
      </c>
      <c r="M72" s="15">
        <v>227</v>
      </c>
      <c r="N72" s="2" t="s">
        <v>17</v>
      </c>
      <c r="O72" s="2" t="s">
        <v>54</v>
      </c>
      <c r="P72" s="2" t="s">
        <v>23</v>
      </c>
      <c r="Q72" s="20">
        <v>12148</v>
      </c>
      <c r="R72">
        <v>599</v>
      </c>
      <c r="S72" s="38">
        <f t="shared" si="5"/>
        <v>0.30218966084952253</v>
      </c>
      <c r="V72" s="19" t="s">
        <v>361</v>
      </c>
      <c r="W72">
        <v>91429</v>
      </c>
      <c r="X72">
        <v>314965</v>
      </c>
      <c r="Y72" s="40">
        <v>-2.0776429286236033</v>
      </c>
      <c r="Z72">
        <v>22857.25</v>
      </c>
      <c r="AA72">
        <v>78741.25</v>
      </c>
      <c r="AB72" s="40">
        <v>-0.51941073215590083</v>
      </c>
    </row>
    <row r="73" spans="1:28" ht="14.25" customHeight="1" x14ac:dyDescent="0.3">
      <c r="A73" s="2" t="s">
        <v>109</v>
      </c>
      <c r="B73" s="2" t="s">
        <v>25</v>
      </c>
      <c r="C73" s="12">
        <v>45719</v>
      </c>
      <c r="D73" s="2" t="s">
        <v>15</v>
      </c>
      <c r="E73" s="2" t="s">
        <v>16</v>
      </c>
      <c r="F73" s="15">
        <v>296</v>
      </c>
      <c r="G73" s="15">
        <v>60</v>
      </c>
      <c r="H73" s="15">
        <v>141</v>
      </c>
      <c r="I73" s="15">
        <f t="shared" si="3"/>
        <v>497</v>
      </c>
      <c r="J73" s="17">
        <f t="shared" si="4"/>
        <v>8.837126600284495E-2</v>
      </c>
      <c r="K73" s="15">
        <v>5624</v>
      </c>
      <c r="L73" s="15">
        <v>5239</v>
      </c>
      <c r="M73" s="15">
        <v>88</v>
      </c>
      <c r="N73" s="2" t="s">
        <v>36</v>
      </c>
      <c r="O73" s="2"/>
      <c r="P73" s="2" t="s">
        <v>43</v>
      </c>
      <c r="Q73" s="20">
        <v>36851</v>
      </c>
      <c r="R73">
        <v>1706</v>
      </c>
      <c r="S73" s="38">
        <f t="shared" si="5"/>
        <v>1.3486743914683455E-2</v>
      </c>
    </row>
    <row r="74" spans="1:28" ht="14.25" customHeight="1" x14ac:dyDescent="0.3">
      <c r="A74" s="2" t="s">
        <v>110</v>
      </c>
      <c r="B74" s="2" t="s">
        <v>33</v>
      </c>
      <c r="C74" s="12">
        <v>45583</v>
      </c>
      <c r="D74" s="2" t="s">
        <v>28</v>
      </c>
      <c r="E74" s="2" t="s">
        <v>29</v>
      </c>
      <c r="F74" s="15">
        <v>4126</v>
      </c>
      <c r="G74" s="15">
        <v>426</v>
      </c>
      <c r="H74" s="15">
        <v>486</v>
      </c>
      <c r="I74" s="15">
        <f t="shared" si="3"/>
        <v>5038</v>
      </c>
      <c r="J74" s="17">
        <f t="shared" si="4"/>
        <v>6.4265122330790625E-2</v>
      </c>
      <c r="K74" s="15">
        <v>78394</v>
      </c>
      <c r="L74" s="15">
        <v>77798</v>
      </c>
      <c r="M74" s="15">
        <v>88</v>
      </c>
      <c r="N74" s="2" t="s">
        <v>22</v>
      </c>
      <c r="O74" s="2"/>
      <c r="P74" s="2" t="s">
        <v>18</v>
      </c>
      <c r="Q74" s="20">
        <v>41215</v>
      </c>
      <c r="R74">
        <v>1872</v>
      </c>
      <c r="S74" s="38">
        <f t="shared" si="5"/>
        <v>0.12223704961785757</v>
      </c>
    </row>
    <row r="75" spans="1:28" ht="14.25" customHeight="1" x14ac:dyDescent="0.3">
      <c r="A75" s="2" t="s">
        <v>111</v>
      </c>
      <c r="B75" s="2" t="s">
        <v>25</v>
      </c>
      <c r="C75" s="12">
        <v>45593</v>
      </c>
      <c r="D75" s="2" t="s">
        <v>15</v>
      </c>
      <c r="E75" s="2" t="s">
        <v>16</v>
      </c>
      <c r="F75" s="15">
        <v>1855</v>
      </c>
      <c r="G75" s="15">
        <v>200</v>
      </c>
      <c r="H75" s="15">
        <v>174</v>
      </c>
      <c r="I75" s="15">
        <f t="shared" si="3"/>
        <v>2229</v>
      </c>
      <c r="J75" s="17">
        <f t="shared" si="4"/>
        <v>0.13351302785265048</v>
      </c>
      <c r="K75" s="15">
        <v>16695</v>
      </c>
      <c r="L75" s="15">
        <v>16330</v>
      </c>
      <c r="M75" s="15">
        <v>123</v>
      </c>
      <c r="N75" s="2" t="s">
        <v>22</v>
      </c>
      <c r="O75" s="2"/>
      <c r="P75" s="2" t="s">
        <v>31</v>
      </c>
      <c r="Q75" s="20">
        <v>43836</v>
      </c>
      <c r="R75">
        <v>1662</v>
      </c>
      <c r="S75" s="38">
        <f t="shared" si="5"/>
        <v>5.0848617574596224E-2</v>
      </c>
    </row>
    <row r="76" spans="1:28" ht="14.25" customHeight="1" x14ac:dyDescent="0.3">
      <c r="A76" s="2" t="s">
        <v>112</v>
      </c>
      <c r="B76" s="2" t="s">
        <v>27</v>
      </c>
      <c r="C76" s="12">
        <v>45505</v>
      </c>
      <c r="D76" s="2" t="s">
        <v>15</v>
      </c>
      <c r="E76" s="2" t="s">
        <v>16</v>
      </c>
      <c r="F76" s="15">
        <v>1674</v>
      </c>
      <c r="G76" s="15">
        <v>929</v>
      </c>
      <c r="H76" s="15">
        <v>37</v>
      </c>
      <c r="I76" s="15">
        <f t="shared" si="3"/>
        <v>2640</v>
      </c>
      <c r="J76" s="17">
        <f t="shared" si="4"/>
        <v>0.12131237937689551</v>
      </c>
      <c r="K76" s="15">
        <v>21762</v>
      </c>
      <c r="L76" s="15">
        <v>20998</v>
      </c>
      <c r="M76" s="15">
        <v>255</v>
      </c>
      <c r="N76" s="2" t="s">
        <v>45</v>
      </c>
      <c r="O76" s="2" t="s">
        <v>54</v>
      </c>
      <c r="P76" s="2" t="s">
        <v>31</v>
      </c>
      <c r="Q76" s="20">
        <v>4509</v>
      </c>
      <c r="R76">
        <v>107</v>
      </c>
      <c r="S76" s="38">
        <f t="shared" si="5"/>
        <v>0.58549567531603464</v>
      </c>
    </row>
    <row r="77" spans="1:28" ht="14.25" customHeight="1" x14ac:dyDescent="0.3">
      <c r="A77" s="2" t="s">
        <v>113</v>
      </c>
      <c r="B77" s="2" t="s">
        <v>14</v>
      </c>
      <c r="C77" s="12">
        <v>45603</v>
      </c>
      <c r="D77" s="2" t="s">
        <v>28</v>
      </c>
      <c r="E77" s="2" t="s">
        <v>29</v>
      </c>
      <c r="F77" s="15">
        <v>1121</v>
      </c>
      <c r="G77" s="15">
        <v>135</v>
      </c>
      <c r="H77" s="15">
        <v>18</v>
      </c>
      <c r="I77" s="15">
        <f t="shared" si="3"/>
        <v>1274</v>
      </c>
      <c r="J77" s="17">
        <f t="shared" si="4"/>
        <v>8.1177520071364848E-2</v>
      </c>
      <c r="K77" s="15">
        <v>15694</v>
      </c>
      <c r="L77" s="15">
        <v>14957</v>
      </c>
      <c r="M77" s="15">
        <v>99</v>
      </c>
      <c r="N77" s="2" t="s">
        <v>17</v>
      </c>
      <c r="O77" s="2" t="s">
        <v>22</v>
      </c>
      <c r="P77" s="2" t="s">
        <v>43</v>
      </c>
      <c r="Q77" s="20">
        <v>27822</v>
      </c>
      <c r="R77">
        <v>118</v>
      </c>
      <c r="S77" s="38">
        <f t="shared" si="5"/>
        <v>4.5791100567895912E-2</v>
      </c>
    </row>
    <row r="78" spans="1:28" ht="14.25" customHeight="1" x14ac:dyDescent="0.3">
      <c r="A78" s="2" t="s">
        <v>114</v>
      </c>
      <c r="B78" s="2" t="s">
        <v>33</v>
      </c>
      <c r="C78" s="12">
        <v>45720</v>
      </c>
      <c r="D78" s="2" t="s">
        <v>28</v>
      </c>
      <c r="E78" s="2" t="s">
        <v>29</v>
      </c>
      <c r="F78" s="15">
        <v>1249</v>
      </c>
      <c r="G78" s="15">
        <v>116</v>
      </c>
      <c r="H78" s="15">
        <v>420</v>
      </c>
      <c r="I78" s="15">
        <f t="shared" si="3"/>
        <v>1785</v>
      </c>
      <c r="J78" s="17">
        <f t="shared" si="4"/>
        <v>0.20416333066453163</v>
      </c>
      <c r="K78" s="15">
        <v>8743</v>
      </c>
      <c r="L78" s="15">
        <v>8538</v>
      </c>
      <c r="M78" s="15">
        <v>63</v>
      </c>
      <c r="N78" s="2" t="s">
        <v>22</v>
      </c>
      <c r="O78" s="2" t="s">
        <v>54</v>
      </c>
      <c r="P78" s="2" t="s">
        <v>31</v>
      </c>
      <c r="Q78" s="20">
        <v>36397</v>
      </c>
      <c r="R78">
        <v>1224</v>
      </c>
      <c r="S78" s="38">
        <f t="shared" si="5"/>
        <v>4.9042503503035961E-2</v>
      </c>
    </row>
    <row r="79" spans="1:28" ht="14.25" customHeight="1" x14ac:dyDescent="0.3">
      <c r="A79" s="2" t="s">
        <v>115</v>
      </c>
      <c r="B79" s="2" t="s">
        <v>14</v>
      </c>
      <c r="C79" s="12">
        <v>45460</v>
      </c>
      <c r="D79" s="2" t="s">
        <v>39</v>
      </c>
      <c r="E79" s="2" t="s">
        <v>40</v>
      </c>
      <c r="F79" s="15">
        <v>954</v>
      </c>
      <c r="G79" s="15">
        <v>324</v>
      </c>
      <c r="H79" s="15">
        <v>288</v>
      </c>
      <c r="I79" s="15">
        <f t="shared" si="3"/>
        <v>1566</v>
      </c>
      <c r="J79" s="17">
        <f t="shared" si="4"/>
        <v>8.2075471698113203E-2</v>
      </c>
      <c r="K79" s="15">
        <v>19080</v>
      </c>
      <c r="L79" s="15">
        <v>18859</v>
      </c>
      <c r="M79" s="15">
        <v>21</v>
      </c>
      <c r="N79" s="2" t="s">
        <v>36</v>
      </c>
      <c r="O79" s="2"/>
      <c r="P79" s="2" t="s">
        <v>31</v>
      </c>
      <c r="Q79" s="20">
        <v>7285</v>
      </c>
      <c r="R79">
        <v>285</v>
      </c>
      <c r="S79" s="38">
        <f t="shared" si="5"/>
        <v>0.21496225120109816</v>
      </c>
    </row>
    <row r="80" spans="1:28" ht="14.25" customHeight="1" x14ac:dyDescent="0.3">
      <c r="A80" s="2" t="s">
        <v>116</v>
      </c>
      <c r="B80" s="2" t="s">
        <v>27</v>
      </c>
      <c r="C80" s="12">
        <v>45574</v>
      </c>
      <c r="D80" s="2" t="s">
        <v>34</v>
      </c>
      <c r="E80" s="2" t="s">
        <v>35</v>
      </c>
      <c r="F80" s="15">
        <v>3068</v>
      </c>
      <c r="G80" s="15">
        <v>137</v>
      </c>
      <c r="H80" s="15">
        <v>329</v>
      </c>
      <c r="I80" s="15">
        <f t="shared" si="3"/>
        <v>3534</v>
      </c>
      <c r="J80" s="17">
        <f t="shared" si="4"/>
        <v>8.860696018453515E-2</v>
      </c>
      <c r="K80" s="15">
        <v>39884</v>
      </c>
      <c r="L80" s="15">
        <v>39404</v>
      </c>
      <c r="M80" s="15">
        <v>266</v>
      </c>
      <c r="N80" s="2" t="s">
        <v>17</v>
      </c>
      <c r="O80" s="2" t="s">
        <v>36</v>
      </c>
      <c r="P80" s="2" t="s">
        <v>31</v>
      </c>
      <c r="Q80" s="20">
        <v>33174</v>
      </c>
      <c r="R80">
        <v>-20</v>
      </c>
      <c r="S80" s="38">
        <f t="shared" si="5"/>
        <v>0.10652920962199312</v>
      </c>
    </row>
    <row r="81" spans="1:22" ht="14.25" customHeight="1" x14ac:dyDescent="0.3">
      <c r="A81" s="2" t="s">
        <v>117</v>
      </c>
      <c r="B81" s="2" t="s">
        <v>27</v>
      </c>
      <c r="C81" s="12">
        <v>45456</v>
      </c>
      <c r="D81" s="2" t="s">
        <v>28</v>
      </c>
      <c r="E81" s="2" t="s">
        <v>29</v>
      </c>
      <c r="F81" s="15">
        <v>2103</v>
      </c>
      <c r="G81" s="15">
        <v>892</v>
      </c>
      <c r="H81" s="15">
        <v>103</v>
      </c>
      <c r="I81" s="15">
        <f t="shared" si="3"/>
        <v>3098</v>
      </c>
      <c r="J81" s="17">
        <f t="shared" si="4"/>
        <v>7.7533348349475686E-2</v>
      </c>
      <c r="K81" s="15">
        <v>39957</v>
      </c>
      <c r="L81" s="15">
        <v>39466</v>
      </c>
      <c r="M81" s="15">
        <v>28</v>
      </c>
      <c r="N81" s="2" t="s">
        <v>54</v>
      </c>
      <c r="O81" s="2" t="s">
        <v>22</v>
      </c>
      <c r="P81" s="2" t="s">
        <v>23</v>
      </c>
      <c r="Q81" s="20">
        <v>6742</v>
      </c>
      <c r="R81">
        <v>367</v>
      </c>
      <c r="S81" s="38">
        <f t="shared" si="5"/>
        <v>0.45950756452091368</v>
      </c>
      <c r="T81" s="16"/>
    </row>
    <row r="82" spans="1:22" ht="14.25" customHeight="1" x14ac:dyDescent="0.3">
      <c r="A82" s="2" t="s">
        <v>118</v>
      </c>
      <c r="B82" s="2" t="s">
        <v>27</v>
      </c>
      <c r="C82" s="12">
        <v>45584</v>
      </c>
      <c r="D82" s="2" t="s">
        <v>28</v>
      </c>
      <c r="E82" s="2" t="s">
        <v>29</v>
      </c>
      <c r="F82" s="15">
        <v>1816</v>
      </c>
      <c r="G82" s="15">
        <v>29</v>
      </c>
      <c r="H82" s="15">
        <v>41</v>
      </c>
      <c r="I82" s="15">
        <f t="shared" si="3"/>
        <v>1886</v>
      </c>
      <c r="J82" s="17">
        <f t="shared" si="4"/>
        <v>9.4413295955146179E-2</v>
      </c>
      <c r="K82" s="15">
        <v>19976</v>
      </c>
      <c r="L82" s="15">
        <v>19262</v>
      </c>
      <c r="M82" s="15">
        <v>283</v>
      </c>
      <c r="N82" s="2" t="s">
        <v>36</v>
      </c>
      <c r="O82" s="2" t="s">
        <v>17</v>
      </c>
      <c r="P82" s="2" t="s">
        <v>31</v>
      </c>
      <c r="Q82" s="20">
        <v>32478</v>
      </c>
      <c r="R82">
        <v>262</v>
      </c>
      <c r="S82" s="38">
        <f t="shared" si="5"/>
        <v>5.8070078206786134E-2</v>
      </c>
    </row>
    <row r="83" spans="1:22" ht="14.25" customHeight="1" x14ac:dyDescent="0.3">
      <c r="A83" s="2" t="s">
        <v>119</v>
      </c>
      <c r="B83" s="2" t="s">
        <v>27</v>
      </c>
      <c r="C83" s="12">
        <v>45497</v>
      </c>
      <c r="D83" s="2" t="s">
        <v>39</v>
      </c>
      <c r="E83" s="2" t="s">
        <v>40</v>
      </c>
      <c r="F83" s="15">
        <v>725</v>
      </c>
      <c r="G83" s="15">
        <v>88</v>
      </c>
      <c r="H83" s="15">
        <v>428</v>
      </c>
      <c r="I83" s="15">
        <f t="shared" si="3"/>
        <v>1241</v>
      </c>
      <c r="J83" s="17">
        <f t="shared" si="4"/>
        <v>8.558620689655172E-2</v>
      </c>
      <c r="K83" s="15">
        <v>14500</v>
      </c>
      <c r="L83" s="15">
        <v>13637</v>
      </c>
      <c r="M83" s="15">
        <v>200</v>
      </c>
      <c r="N83" s="2" t="s">
        <v>36</v>
      </c>
      <c r="O83" s="2"/>
      <c r="P83" s="2" t="s">
        <v>31</v>
      </c>
      <c r="Q83" s="20">
        <v>42824</v>
      </c>
      <c r="R83">
        <v>439</v>
      </c>
      <c r="S83" s="38">
        <f t="shared" si="5"/>
        <v>2.8979077152998318E-2</v>
      </c>
    </row>
    <row r="84" spans="1:22" ht="14.25" customHeight="1" x14ac:dyDescent="0.3">
      <c r="A84" s="2" t="s">
        <v>120</v>
      </c>
      <c r="B84" s="2" t="s">
        <v>25</v>
      </c>
      <c r="C84" s="12">
        <v>45580</v>
      </c>
      <c r="D84" s="2" t="s">
        <v>50</v>
      </c>
      <c r="E84" s="2" t="s">
        <v>51</v>
      </c>
      <c r="F84" s="15">
        <v>1094</v>
      </c>
      <c r="G84" s="15">
        <v>472</v>
      </c>
      <c r="H84" s="15">
        <v>21</v>
      </c>
      <c r="I84" s="15">
        <f t="shared" si="3"/>
        <v>1587</v>
      </c>
      <c r="J84" s="17">
        <f t="shared" si="4"/>
        <v>0.16118220597196831</v>
      </c>
      <c r="K84" s="15">
        <v>9846</v>
      </c>
      <c r="L84" s="15">
        <v>9609</v>
      </c>
      <c r="M84" s="15">
        <v>112</v>
      </c>
      <c r="N84" s="2" t="s">
        <v>36</v>
      </c>
      <c r="O84" s="2" t="s">
        <v>45</v>
      </c>
      <c r="P84" s="2" t="s">
        <v>31</v>
      </c>
      <c r="Q84" s="20">
        <v>21208</v>
      </c>
      <c r="R84">
        <v>636</v>
      </c>
      <c r="S84" s="38">
        <f t="shared" si="5"/>
        <v>7.4830252734817054E-2</v>
      </c>
    </row>
    <row r="85" spans="1:22" ht="14.25" customHeight="1" x14ac:dyDescent="0.3">
      <c r="A85" s="2" t="s">
        <v>121</v>
      </c>
      <c r="B85" s="2" t="s">
        <v>33</v>
      </c>
      <c r="C85" s="12">
        <v>45635</v>
      </c>
      <c r="D85" s="2" t="s">
        <v>39</v>
      </c>
      <c r="E85" s="2" t="s">
        <v>40</v>
      </c>
      <c r="F85" s="15">
        <v>1841</v>
      </c>
      <c r="G85" s="15">
        <v>851</v>
      </c>
      <c r="H85" s="15">
        <v>342</v>
      </c>
      <c r="I85" s="15">
        <f t="shared" si="3"/>
        <v>3034</v>
      </c>
      <c r="J85" s="17">
        <f t="shared" si="4"/>
        <v>8.6737756939878216E-2</v>
      </c>
      <c r="K85" s="15">
        <v>34979</v>
      </c>
      <c r="L85" s="15">
        <v>34154</v>
      </c>
      <c r="M85" s="15">
        <v>255</v>
      </c>
      <c r="N85" s="2" t="s">
        <v>22</v>
      </c>
      <c r="O85" s="2" t="s">
        <v>54</v>
      </c>
      <c r="P85" s="2" t="s">
        <v>18</v>
      </c>
      <c r="Q85" s="20">
        <v>44321</v>
      </c>
      <c r="R85">
        <v>1484</v>
      </c>
      <c r="S85" s="38">
        <f t="shared" si="5"/>
        <v>6.8455134135060131E-2</v>
      </c>
      <c r="V85" s="39"/>
    </row>
    <row r="86" spans="1:22" ht="14.25" customHeight="1" x14ac:dyDescent="0.3">
      <c r="A86" s="2" t="s">
        <v>122</v>
      </c>
      <c r="B86" s="2" t="s">
        <v>27</v>
      </c>
      <c r="C86" s="12">
        <v>45766</v>
      </c>
      <c r="D86" s="2" t="s">
        <v>39</v>
      </c>
      <c r="E86" s="2" t="s">
        <v>40</v>
      </c>
      <c r="F86" s="15">
        <v>4177</v>
      </c>
      <c r="G86" s="15">
        <v>569</v>
      </c>
      <c r="H86" s="15">
        <v>55</v>
      </c>
      <c r="I86" s="15">
        <f t="shared" si="3"/>
        <v>4801</v>
      </c>
      <c r="J86" s="17">
        <f t="shared" si="4"/>
        <v>0.19156491900087783</v>
      </c>
      <c r="K86" s="15">
        <v>25062</v>
      </c>
      <c r="L86" s="15">
        <v>24847</v>
      </c>
      <c r="M86" s="15">
        <v>230</v>
      </c>
      <c r="N86" s="2" t="s">
        <v>22</v>
      </c>
      <c r="O86" s="2"/>
      <c r="P86" s="2" t="s">
        <v>18</v>
      </c>
      <c r="Q86" s="20">
        <v>13116</v>
      </c>
      <c r="R86">
        <v>576</v>
      </c>
      <c r="S86" s="38">
        <f t="shared" si="5"/>
        <v>0.36604147605977433</v>
      </c>
      <c r="V86" s="39"/>
    </row>
    <row r="87" spans="1:22" ht="14.25" customHeight="1" x14ac:dyDescent="0.3">
      <c r="A87" s="2" t="s">
        <v>123</v>
      </c>
      <c r="B87" s="2" t="s">
        <v>25</v>
      </c>
      <c r="C87" s="12">
        <v>45684</v>
      </c>
      <c r="D87" s="2" t="s">
        <v>20</v>
      </c>
      <c r="E87" s="2" t="s">
        <v>21</v>
      </c>
      <c r="F87" s="15">
        <v>3428</v>
      </c>
      <c r="G87" s="15">
        <v>305</v>
      </c>
      <c r="H87" s="15">
        <v>85</v>
      </c>
      <c r="I87" s="15">
        <f t="shared" si="3"/>
        <v>3818</v>
      </c>
      <c r="J87" s="17">
        <f t="shared" si="4"/>
        <v>6.5515821264328367E-2</v>
      </c>
      <c r="K87" s="15">
        <v>58276</v>
      </c>
      <c r="L87" s="15">
        <v>58052</v>
      </c>
      <c r="M87" s="15">
        <v>242</v>
      </c>
      <c r="N87" s="2" t="s">
        <v>36</v>
      </c>
      <c r="O87" s="2" t="s">
        <v>45</v>
      </c>
      <c r="P87" s="2" t="s">
        <v>31</v>
      </c>
      <c r="Q87" s="20">
        <v>30214</v>
      </c>
      <c r="R87">
        <v>386</v>
      </c>
      <c r="S87" s="38">
        <f t="shared" si="5"/>
        <v>0.12636526113722116</v>
      </c>
      <c r="V87" s="39"/>
    </row>
    <row r="88" spans="1:22" ht="14.25" customHeight="1" x14ac:dyDescent="0.3">
      <c r="A88" s="2" t="s">
        <v>124</v>
      </c>
      <c r="B88" s="2" t="s">
        <v>14</v>
      </c>
      <c r="C88" s="12">
        <v>45449</v>
      </c>
      <c r="D88" s="2" t="s">
        <v>50</v>
      </c>
      <c r="E88" s="2" t="s">
        <v>51</v>
      </c>
      <c r="F88" s="15">
        <v>1436</v>
      </c>
      <c r="G88" s="15">
        <v>765</v>
      </c>
      <c r="H88" s="15">
        <v>496</v>
      </c>
      <c r="I88" s="15">
        <f t="shared" si="3"/>
        <v>2697</v>
      </c>
      <c r="J88" s="17">
        <f t="shared" si="4"/>
        <v>0.20868152274837512</v>
      </c>
      <c r="K88" s="15">
        <v>12924</v>
      </c>
      <c r="L88" s="15">
        <v>12701</v>
      </c>
      <c r="M88" s="15">
        <v>197</v>
      </c>
      <c r="N88" s="2" t="s">
        <v>36</v>
      </c>
      <c r="O88" s="2" t="s">
        <v>17</v>
      </c>
      <c r="P88" s="2" t="s">
        <v>23</v>
      </c>
      <c r="Q88" s="20">
        <v>15827</v>
      </c>
      <c r="R88">
        <v>37</v>
      </c>
      <c r="S88" s="38">
        <f t="shared" si="5"/>
        <v>0.17040500410690593</v>
      </c>
      <c r="V88" s="39"/>
    </row>
    <row r="89" spans="1:22" ht="14.25" customHeight="1" x14ac:dyDescent="0.3">
      <c r="A89" s="2" t="s">
        <v>125</v>
      </c>
      <c r="B89" s="2" t="s">
        <v>33</v>
      </c>
      <c r="C89" s="12">
        <v>45480</v>
      </c>
      <c r="D89" s="2" t="s">
        <v>28</v>
      </c>
      <c r="E89" s="2" t="s">
        <v>29</v>
      </c>
      <c r="F89" s="15">
        <v>302</v>
      </c>
      <c r="G89" s="15">
        <v>47</v>
      </c>
      <c r="H89" s="15">
        <v>430</v>
      </c>
      <c r="I89" s="15">
        <f t="shared" si="3"/>
        <v>779</v>
      </c>
      <c r="J89" s="17">
        <f t="shared" si="4"/>
        <v>0.13576158940397351</v>
      </c>
      <c r="K89" s="15">
        <v>5738</v>
      </c>
      <c r="L89" s="15">
        <v>4890</v>
      </c>
      <c r="M89" s="15">
        <v>25</v>
      </c>
      <c r="N89" s="2" t="s">
        <v>22</v>
      </c>
      <c r="O89" s="2" t="s">
        <v>17</v>
      </c>
      <c r="P89" s="2" t="s">
        <v>23</v>
      </c>
      <c r="Q89" s="20">
        <v>46643</v>
      </c>
      <c r="R89">
        <v>1657</v>
      </c>
      <c r="S89" s="38">
        <f t="shared" si="5"/>
        <v>1.6701327101601528E-2</v>
      </c>
      <c r="V89" s="39"/>
    </row>
    <row r="90" spans="1:22" ht="14.25" customHeight="1" x14ac:dyDescent="0.3">
      <c r="A90" s="2" t="s">
        <v>126</v>
      </c>
      <c r="B90" s="2" t="s">
        <v>14</v>
      </c>
      <c r="C90" s="12">
        <v>45667</v>
      </c>
      <c r="D90" s="2" t="s">
        <v>39</v>
      </c>
      <c r="E90" s="2" t="s">
        <v>40</v>
      </c>
      <c r="F90" s="15">
        <v>2214</v>
      </c>
      <c r="G90" s="15">
        <v>249</v>
      </c>
      <c r="H90" s="15">
        <v>152</v>
      </c>
      <c r="I90" s="15">
        <f t="shared" si="3"/>
        <v>2615</v>
      </c>
      <c r="J90" s="17">
        <f t="shared" si="4"/>
        <v>0.16873144921925409</v>
      </c>
      <c r="K90" s="15">
        <v>15498</v>
      </c>
      <c r="L90" s="15">
        <v>14800</v>
      </c>
      <c r="M90" s="15">
        <v>180</v>
      </c>
      <c r="N90" s="2" t="s">
        <v>17</v>
      </c>
      <c r="O90" s="2"/>
      <c r="P90" s="2" t="s">
        <v>23</v>
      </c>
      <c r="Q90" s="20">
        <v>36484</v>
      </c>
      <c r="R90">
        <v>1397</v>
      </c>
      <c r="S90" s="38">
        <f t="shared" si="5"/>
        <v>7.1675254906260283E-2</v>
      </c>
      <c r="V90" s="39"/>
    </row>
    <row r="91" spans="1:22" ht="14.25" customHeight="1" x14ac:dyDescent="0.3">
      <c r="A91" s="2" t="s">
        <v>127</v>
      </c>
      <c r="B91" s="2" t="s">
        <v>27</v>
      </c>
      <c r="C91" s="12">
        <v>45446</v>
      </c>
      <c r="D91" s="2" t="s">
        <v>39</v>
      </c>
      <c r="E91" s="2" t="s">
        <v>40</v>
      </c>
      <c r="F91" s="15">
        <v>3861</v>
      </c>
      <c r="G91" s="15">
        <v>960</v>
      </c>
      <c r="H91" s="15">
        <v>101</v>
      </c>
      <c r="I91" s="15">
        <f t="shared" si="3"/>
        <v>4922</v>
      </c>
      <c r="J91" s="17">
        <f t="shared" si="4"/>
        <v>7.0822181933293038E-2</v>
      </c>
      <c r="K91" s="15">
        <v>69498</v>
      </c>
      <c r="L91" s="15">
        <v>68817</v>
      </c>
      <c r="M91" s="15">
        <v>297</v>
      </c>
      <c r="N91" s="2" t="s">
        <v>22</v>
      </c>
      <c r="O91" s="2"/>
      <c r="P91" s="2" t="s">
        <v>23</v>
      </c>
      <c r="Q91" s="20">
        <v>4996</v>
      </c>
      <c r="R91">
        <v>540</v>
      </c>
      <c r="S91" s="38">
        <f t="shared" si="5"/>
        <v>0.98518815052041631</v>
      </c>
      <c r="V91" s="39"/>
    </row>
    <row r="92" spans="1:22" ht="14.25" customHeight="1" x14ac:dyDescent="0.3">
      <c r="A92" s="2" t="s">
        <v>128</v>
      </c>
      <c r="B92" s="2" t="s">
        <v>33</v>
      </c>
      <c r="C92" s="12">
        <v>45740</v>
      </c>
      <c r="D92" s="2" t="s">
        <v>39</v>
      </c>
      <c r="E92" s="2" t="s">
        <v>40</v>
      </c>
      <c r="F92" s="15">
        <v>1263</v>
      </c>
      <c r="G92" s="15">
        <v>397</v>
      </c>
      <c r="H92" s="15">
        <v>357</v>
      </c>
      <c r="I92" s="15">
        <f t="shared" si="3"/>
        <v>2017</v>
      </c>
      <c r="J92" s="17">
        <f t="shared" si="4"/>
        <v>7.984956452889945E-2</v>
      </c>
      <c r="K92" s="15">
        <v>25260</v>
      </c>
      <c r="L92" s="15">
        <v>24615</v>
      </c>
      <c r="M92" s="15">
        <v>137</v>
      </c>
      <c r="N92" s="2" t="s">
        <v>17</v>
      </c>
      <c r="O92" s="2"/>
      <c r="P92" s="2" t="s">
        <v>23</v>
      </c>
      <c r="Q92" s="20">
        <v>36095</v>
      </c>
      <c r="R92">
        <v>1603</v>
      </c>
      <c r="S92" s="38">
        <f t="shared" si="5"/>
        <v>5.5880315833217897E-2</v>
      </c>
      <c r="V92" s="39"/>
    </row>
    <row r="93" spans="1:22" ht="14.25" customHeight="1" x14ac:dyDescent="0.3">
      <c r="A93" s="2" t="s">
        <v>129</v>
      </c>
      <c r="B93" s="2" t="s">
        <v>14</v>
      </c>
      <c r="C93" s="12">
        <v>45586</v>
      </c>
      <c r="D93" s="2" t="s">
        <v>28</v>
      </c>
      <c r="E93" s="2" t="s">
        <v>29</v>
      </c>
      <c r="F93" s="15">
        <v>3801</v>
      </c>
      <c r="G93" s="15">
        <v>967</v>
      </c>
      <c r="H93" s="15">
        <v>401</v>
      </c>
      <c r="I93" s="15">
        <f t="shared" si="3"/>
        <v>5169</v>
      </c>
      <c r="J93" s="17">
        <f t="shared" si="4"/>
        <v>0.13599052880820836</v>
      </c>
      <c r="K93" s="15">
        <v>38010</v>
      </c>
      <c r="L93" s="15">
        <v>37625</v>
      </c>
      <c r="M93" s="15">
        <v>236</v>
      </c>
      <c r="N93" s="2" t="s">
        <v>45</v>
      </c>
      <c r="O93" s="2"/>
      <c r="P93" s="2" t="s">
        <v>43</v>
      </c>
      <c r="Q93" s="20">
        <v>16443</v>
      </c>
      <c r="R93">
        <v>1044</v>
      </c>
      <c r="S93" s="38">
        <f t="shared" si="5"/>
        <v>0.31435869366903851</v>
      </c>
      <c r="V93" s="39"/>
    </row>
    <row r="94" spans="1:22" ht="14.25" customHeight="1" x14ac:dyDescent="0.3">
      <c r="A94" s="2" t="s">
        <v>130</v>
      </c>
      <c r="B94" s="2" t="s">
        <v>27</v>
      </c>
      <c r="C94" s="12">
        <v>45637</v>
      </c>
      <c r="D94" s="2" t="s">
        <v>50</v>
      </c>
      <c r="E94" s="2" t="s">
        <v>51</v>
      </c>
      <c r="F94" s="15">
        <v>1431</v>
      </c>
      <c r="G94" s="15">
        <v>951</v>
      </c>
      <c r="H94" s="15">
        <v>26</v>
      </c>
      <c r="I94" s="15">
        <f t="shared" si="3"/>
        <v>2408</v>
      </c>
      <c r="J94" s="17">
        <f t="shared" si="4"/>
        <v>0.28045655718611695</v>
      </c>
      <c r="K94" s="15">
        <v>8586</v>
      </c>
      <c r="L94" s="15">
        <v>8396</v>
      </c>
      <c r="M94" s="15">
        <v>150</v>
      </c>
      <c r="N94" s="2" t="s">
        <v>36</v>
      </c>
      <c r="O94" s="2" t="s">
        <v>54</v>
      </c>
      <c r="P94" s="2" t="s">
        <v>18</v>
      </c>
      <c r="Q94" s="20">
        <v>47812</v>
      </c>
      <c r="R94">
        <v>902</v>
      </c>
      <c r="S94" s="38">
        <f t="shared" si="5"/>
        <v>5.0363925374383001E-2</v>
      </c>
      <c r="V94" s="39"/>
    </row>
    <row r="95" spans="1:22" ht="14.25" customHeight="1" x14ac:dyDescent="0.3">
      <c r="A95" s="2" t="s">
        <v>131</v>
      </c>
      <c r="B95" s="2" t="s">
        <v>27</v>
      </c>
      <c r="C95" s="12">
        <v>45603</v>
      </c>
      <c r="D95" s="2" t="s">
        <v>39</v>
      </c>
      <c r="E95" s="2" t="s">
        <v>40</v>
      </c>
      <c r="F95" s="15">
        <v>2647</v>
      </c>
      <c r="G95" s="15">
        <v>304</v>
      </c>
      <c r="H95" s="15">
        <v>170</v>
      </c>
      <c r="I95" s="15">
        <f t="shared" si="3"/>
        <v>3121</v>
      </c>
      <c r="J95" s="17">
        <f t="shared" si="4"/>
        <v>0.16843866371633656</v>
      </c>
      <c r="K95" s="15">
        <v>18529</v>
      </c>
      <c r="L95" s="15">
        <v>17841</v>
      </c>
      <c r="M95" s="15">
        <v>46</v>
      </c>
      <c r="N95" s="2" t="s">
        <v>45</v>
      </c>
      <c r="O95" s="2"/>
      <c r="P95" s="2" t="s">
        <v>23</v>
      </c>
      <c r="Q95" s="20">
        <v>38452</v>
      </c>
      <c r="R95">
        <v>-106</v>
      </c>
      <c r="S95" s="38">
        <f t="shared" si="5"/>
        <v>8.1166129200041612E-2</v>
      </c>
      <c r="V95" s="39"/>
    </row>
    <row r="96" spans="1:22" ht="14.25" customHeight="1" x14ac:dyDescent="0.3">
      <c r="A96" s="2" t="s">
        <v>132</v>
      </c>
      <c r="B96" s="2" t="s">
        <v>27</v>
      </c>
      <c r="C96" s="12">
        <v>45604</v>
      </c>
      <c r="D96" s="2" t="s">
        <v>20</v>
      </c>
      <c r="E96" s="2" t="s">
        <v>21</v>
      </c>
      <c r="F96" s="15">
        <v>3182</v>
      </c>
      <c r="G96" s="15">
        <v>559</v>
      </c>
      <c r="H96" s="15">
        <v>160</v>
      </c>
      <c r="I96" s="15">
        <f t="shared" si="3"/>
        <v>3901</v>
      </c>
      <c r="J96" s="17">
        <f t="shared" si="4"/>
        <v>6.8108806480899509E-2</v>
      </c>
      <c r="K96" s="15">
        <v>57276</v>
      </c>
      <c r="L96" s="15">
        <v>56890</v>
      </c>
      <c r="M96" s="15">
        <v>163</v>
      </c>
      <c r="N96" s="2" t="s">
        <v>45</v>
      </c>
      <c r="O96" s="2" t="s">
        <v>36</v>
      </c>
      <c r="P96" s="2" t="s">
        <v>23</v>
      </c>
      <c r="Q96" s="20">
        <v>30428</v>
      </c>
      <c r="R96">
        <v>1150</v>
      </c>
      <c r="S96" s="38">
        <f t="shared" si="5"/>
        <v>0.12820428552648877</v>
      </c>
      <c r="V96" s="39"/>
    </row>
    <row r="97" spans="1:28" ht="14.25" customHeight="1" x14ac:dyDescent="0.3">
      <c r="A97" s="2" t="s">
        <v>133</v>
      </c>
      <c r="B97" s="2" t="s">
        <v>14</v>
      </c>
      <c r="C97" s="12">
        <v>45545</v>
      </c>
      <c r="D97" s="2" t="s">
        <v>39</v>
      </c>
      <c r="E97" s="2" t="s">
        <v>40</v>
      </c>
      <c r="F97" s="15">
        <v>1238</v>
      </c>
      <c r="G97" s="15">
        <v>366</v>
      </c>
      <c r="H97" s="15">
        <v>444</v>
      </c>
      <c r="I97" s="15">
        <f t="shared" si="3"/>
        <v>2048</v>
      </c>
      <c r="J97" s="17">
        <f t="shared" si="4"/>
        <v>0.10339256865912763</v>
      </c>
      <c r="K97" s="15">
        <v>19808</v>
      </c>
      <c r="L97" s="15">
        <v>19334</v>
      </c>
      <c r="M97" s="15">
        <v>123</v>
      </c>
      <c r="N97" s="2" t="s">
        <v>54</v>
      </c>
      <c r="O97" s="2"/>
      <c r="P97" s="2" t="s">
        <v>31</v>
      </c>
      <c r="Q97" s="20">
        <v>9269</v>
      </c>
      <c r="R97">
        <v>349</v>
      </c>
      <c r="S97" s="38">
        <f t="shared" si="5"/>
        <v>0.22095155895997412</v>
      </c>
      <c r="V97" s="39"/>
    </row>
    <row r="98" spans="1:28" ht="31.2" x14ac:dyDescent="0.6">
      <c r="A98" s="2" t="s">
        <v>134</v>
      </c>
      <c r="B98" s="2" t="s">
        <v>27</v>
      </c>
      <c r="C98" s="12">
        <v>45517</v>
      </c>
      <c r="D98" s="2" t="s">
        <v>39</v>
      </c>
      <c r="E98" s="2" t="s">
        <v>40</v>
      </c>
      <c r="F98" s="15">
        <v>4739</v>
      </c>
      <c r="G98" s="15">
        <v>527</v>
      </c>
      <c r="H98" s="15">
        <v>135</v>
      </c>
      <c r="I98" s="15">
        <f t="shared" si="3"/>
        <v>5401</v>
      </c>
      <c r="J98" s="17">
        <f t="shared" si="4"/>
        <v>8.7668609086629767E-2</v>
      </c>
      <c r="K98" s="15">
        <v>61607</v>
      </c>
      <c r="L98" s="15">
        <v>61333</v>
      </c>
      <c r="M98" s="15">
        <v>36</v>
      </c>
      <c r="N98" s="2" t="s">
        <v>45</v>
      </c>
      <c r="O98" s="2" t="s">
        <v>17</v>
      </c>
      <c r="P98" s="2" t="s">
        <v>23</v>
      </c>
      <c r="Q98" s="20">
        <v>29533</v>
      </c>
      <c r="R98">
        <v>-49</v>
      </c>
      <c r="S98" s="38">
        <f t="shared" si="5"/>
        <v>0.1828801679477195</v>
      </c>
      <c r="V98" s="39"/>
      <c r="Y98" s="44" t="s">
        <v>385</v>
      </c>
      <c r="Z98" s="42"/>
      <c r="AA98" s="42"/>
      <c r="AB98" s="42"/>
    </row>
    <row r="99" spans="1:28" ht="14.25" customHeight="1" x14ac:dyDescent="0.3">
      <c r="A99" s="2" t="s">
        <v>135</v>
      </c>
      <c r="B99" s="2" t="s">
        <v>14</v>
      </c>
      <c r="C99" s="12">
        <v>45453</v>
      </c>
      <c r="D99" s="2" t="s">
        <v>28</v>
      </c>
      <c r="E99" s="2" t="s">
        <v>29</v>
      </c>
      <c r="F99" s="15">
        <v>1575</v>
      </c>
      <c r="G99" s="15">
        <v>771</v>
      </c>
      <c r="H99" s="15">
        <v>486</v>
      </c>
      <c r="I99" s="15">
        <f t="shared" si="3"/>
        <v>2832</v>
      </c>
      <c r="J99" s="17">
        <f t="shared" si="4"/>
        <v>0.11238095238095239</v>
      </c>
      <c r="K99" s="15">
        <v>25200</v>
      </c>
      <c r="L99" s="15">
        <v>24826</v>
      </c>
      <c r="M99" s="15">
        <v>17</v>
      </c>
      <c r="N99" s="2" t="s">
        <v>45</v>
      </c>
      <c r="O99" s="2"/>
      <c r="P99" s="2" t="s">
        <v>31</v>
      </c>
      <c r="Q99" s="20">
        <v>39997</v>
      </c>
      <c r="R99">
        <v>72</v>
      </c>
      <c r="S99" s="38">
        <f t="shared" si="5"/>
        <v>7.0805310398279878E-2</v>
      </c>
      <c r="V99" s="39"/>
    </row>
    <row r="100" spans="1:28" ht="14.25" customHeight="1" x14ac:dyDescent="0.3">
      <c r="A100" s="2" t="s">
        <v>136</v>
      </c>
      <c r="B100" s="2" t="s">
        <v>25</v>
      </c>
      <c r="C100" s="12">
        <v>45475</v>
      </c>
      <c r="D100" s="2" t="s">
        <v>34</v>
      </c>
      <c r="E100" s="2" t="s">
        <v>35</v>
      </c>
      <c r="F100" s="15">
        <v>4171</v>
      </c>
      <c r="G100" s="15">
        <v>548</v>
      </c>
      <c r="H100" s="15">
        <v>86</v>
      </c>
      <c r="I100" s="15">
        <f t="shared" si="3"/>
        <v>4805</v>
      </c>
      <c r="J100" s="17">
        <f t="shared" si="4"/>
        <v>7.2000119875329657E-2</v>
      </c>
      <c r="K100" s="15">
        <v>66736</v>
      </c>
      <c r="L100" s="15">
        <v>66634</v>
      </c>
      <c r="M100" s="15">
        <v>173</v>
      </c>
      <c r="N100" s="2" t="s">
        <v>45</v>
      </c>
      <c r="O100" s="2"/>
      <c r="P100" s="2" t="s">
        <v>31</v>
      </c>
      <c r="Q100" s="20">
        <v>5391</v>
      </c>
      <c r="R100">
        <v>445</v>
      </c>
      <c r="S100" s="38">
        <f t="shared" si="5"/>
        <v>0.89130031534038212</v>
      </c>
      <c r="V100" s="39"/>
    </row>
    <row r="101" spans="1:28" ht="14.25" customHeight="1" x14ac:dyDescent="0.3">
      <c r="A101" s="2" t="s">
        <v>137</v>
      </c>
      <c r="B101" s="2" t="s">
        <v>25</v>
      </c>
      <c r="C101" s="12">
        <v>45698</v>
      </c>
      <c r="D101" s="2" t="s">
        <v>50</v>
      </c>
      <c r="E101" s="2" t="s">
        <v>51</v>
      </c>
      <c r="F101" s="15">
        <v>1766</v>
      </c>
      <c r="G101" s="15">
        <v>92</v>
      </c>
      <c r="H101" s="15">
        <v>424</v>
      </c>
      <c r="I101" s="15">
        <f t="shared" si="3"/>
        <v>2282</v>
      </c>
      <c r="J101" s="17">
        <f t="shared" si="4"/>
        <v>9.2298980747451867E-2</v>
      </c>
      <c r="K101" s="15">
        <v>24724</v>
      </c>
      <c r="L101" s="15">
        <v>24333</v>
      </c>
      <c r="M101" s="15">
        <v>52</v>
      </c>
      <c r="N101" s="2" t="s">
        <v>45</v>
      </c>
      <c r="O101" s="2"/>
      <c r="P101" s="2" t="s">
        <v>18</v>
      </c>
      <c r="Q101" s="20">
        <v>22373</v>
      </c>
      <c r="R101">
        <v>60</v>
      </c>
      <c r="S101" s="38">
        <f t="shared" si="5"/>
        <v>0.10199794395029724</v>
      </c>
      <c r="V101" s="39"/>
    </row>
    <row r="102" spans="1:28" ht="14.25" customHeight="1" x14ac:dyDescent="0.3">
      <c r="A102" s="2" t="s">
        <v>138</v>
      </c>
      <c r="B102" s="2" t="s">
        <v>25</v>
      </c>
      <c r="C102" s="12">
        <v>45583</v>
      </c>
      <c r="D102" s="2" t="s">
        <v>50</v>
      </c>
      <c r="E102" s="2" t="s">
        <v>51</v>
      </c>
      <c r="F102" s="15">
        <v>4450</v>
      </c>
      <c r="G102" s="15">
        <v>983</v>
      </c>
      <c r="H102" s="15">
        <v>143</v>
      </c>
      <c r="I102" s="15">
        <f t="shared" si="3"/>
        <v>5576</v>
      </c>
      <c r="J102" s="17">
        <f t="shared" si="4"/>
        <v>7.3707865168539333E-2</v>
      </c>
      <c r="K102" s="15">
        <v>75650</v>
      </c>
      <c r="L102" s="15">
        <v>75008</v>
      </c>
      <c r="M102" s="15">
        <v>12</v>
      </c>
      <c r="N102" s="2" t="s">
        <v>17</v>
      </c>
      <c r="O102" s="2" t="s">
        <v>45</v>
      </c>
      <c r="P102" s="2" t="s">
        <v>23</v>
      </c>
      <c r="Q102" s="20">
        <v>1810</v>
      </c>
      <c r="R102">
        <v>1693</v>
      </c>
      <c r="S102" s="38">
        <f t="shared" si="5"/>
        <v>3.0806629834254142</v>
      </c>
      <c r="V102" s="39"/>
    </row>
    <row r="103" spans="1:28" ht="14.25" customHeight="1" x14ac:dyDescent="0.3">
      <c r="A103" s="2" t="s">
        <v>139</v>
      </c>
      <c r="B103" s="2" t="s">
        <v>14</v>
      </c>
      <c r="C103" s="12">
        <v>45553</v>
      </c>
      <c r="D103" s="2" t="s">
        <v>15</v>
      </c>
      <c r="E103" s="2" t="s">
        <v>16</v>
      </c>
      <c r="F103" s="15">
        <v>1000</v>
      </c>
      <c r="G103" s="15">
        <v>978</v>
      </c>
      <c r="H103" s="15">
        <v>162</v>
      </c>
      <c r="I103" s="15">
        <f t="shared" si="3"/>
        <v>2140</v>
      </c>
      <c r="J103" s="17">
        <f t="shared" si="4"/>
        <v>0.35666666666666669</v>
      </c>
      <c r="K103" s="15">
        <v>6000</v>
      </c>
      <c r="L103" s="15">
        <v>5221</v>
      </c>
      <c r="M103" s="15">
        <v>223</v>
      </c>
      <c r="N103" s="2" t="s">
        <v>36</v>
      </c>
      <c r="O103" s="2" t="s">
        <v>22</v>
      </c>
      <c r="P103" s="2" t="s">
        <v>31</v>
      </c>
      <c r="Q103" s="20">
        <v>28498</v>
      </c>
      <c r="R103">
        <v>1332</v>
      </c>
      <c r="S103" s="38">
        <f t="shared" si="5"/>
        <v>7.5092988981682929E-2</v>
      </c>
      <c r="V103" s="39"/>
    </row>
    <row r="104" spans="1:28" ht="14.25" customHeight="1" x14ac:dyDescent="0.3">
      <c r="A104" s="2" t="s">
        <v>140</v>
      </c>
      <c r="B104" s="2" t="s">
        <v>33</v>
      </c>
      <c r="C104" s="12">
        <v>45454</v>
      </c>
      <c r="D104" s="2" t="s">
        <v>39</v>
      </c>
      <c r="E104" s="2" t="s">
        <v>40</v>
      </c>
      <c r="F104" s="15">
        <v>3689</v>
      </c>
      <c r="G104" s="15">
        <v>48</v>
      </c>
      <c r="H104" s="15">
        <v>306</v>
      </c>
      <c r="I104" s="15">
        <f t="shared" si="3"/>
        <v>4043</v>
      </c>
      <c r="J104" s="17">
        <f t="shared" si="4"/>
        <v>9.9632815002833983E-2</v>
      </c>
      <c r="K104" s="15">
        <v>40579</v>
      </c>
      <c r="L104" s="15">
        <v>39588</v>
      </c>
      <c r="M104" s="15">
        <v>212</v>
      </c>
      <c r="N104" s="2" t="s">
        <v>36</v>
      </c>
      <c r="O104" s="2"/>
      <c r="P104" s="2" t="s">
        <v>18</v>
      </c>
      <c r="Q104" s="20">
        <v>39530</v>
      </c>
      <c r="R104">
        <v>98</v>
      </c>
      <c r="S104" s="38">
        <f t="shared" si="5"/>
        <v>0.10227675183405009</v>
      </c>
      <c r="V104" s="39"/>
    </row>
    <row r="105" spans="1:28" ht="14.25" customHeight="1" x14ac:dyDescent="0.3">
      <c r="A105" s="2" t="s">
        <v>141</v>
      </c>
      <c r="B105" s="2" t="s">
        <v>25</v>
      </c>
      <c r="C105" s="12">
        <v>45739</v>
      </c>
      <c r="D105" s="2" t="s">
        <v>28</v>
      </c>
      <c r="E105" s="2" t="s">
        <v>29</v>
      </c>
      <c r="F105" s="15">
        <v>3655</v>
      </c>
      <c r="G105" s="15">
        <v>568</v>
      </c>
      <c r="H105" s="15">
        <v>286</v>
      </c>
      <c r="I105" s="15">
        <f t="shared" si="3"/>
        <v>4509</v>
      </c>
      <c r="J105" s="17">
        <f t="shared" si="4"/>
        <v>0.13707250341997265</v>
      </c>
      <c r="K105" s="15">
        <v>32895</v>
      </c>
      <c r="L105" s="15">
        <v>32015</v>
      </c>
      <c r="M105" s="15">
        <v>199</v>
      </c>
      <c r="N105" s="2" t="s">
        <v>36</v>
      </c>
      <c r="O105" s="2"/>
      <c r="P105" s="2" t="s">
        <v>43</v>
      </c>
      <c r="Q105" s="20">
        <v>37876</v>
      </c>
      <c r="R105">
        <v>885</v>
      </c>
      <c r="S105" s="38">
        <f t="shared" si="5"/>
        <v>0.11904636181222938</v>
      </c>
      <c r="V105" s="39"/>
    </row>
    <row r="106" spans="1:28" ht="14.25" customHeight="1" x14ac:dyDescent="0.3">
      <c r="A106" s="2" t="s">
        <v>142</v>
      </c>
      <c r="B106" s="2" t="s">
        <v>27</v>
      </c>
      <c r="C106" s="12">
        <v>45457</v>
      </c>
      <c r="D106" s="2" t="s">
        <v>34</v>
      </c>
      <c r="E106" s="2" t="s">
        <v>35</v>
      </c>
      <c r="F106" s="15">
        <v>498</v>
      </c>
      <c r="G106" s="15">
        <v>38</v>
      </c>
      <c r="H106" s="15">
        <v>42</v>
      </c>
      <c r="I106" s="15">
        <f t="shared" si="3"/>
        <v>578</v>
      </c>
      <c r="J106" s="17">
        <f t="shared" si="4"/>
        <v>0.12896028558679162</v>
      </c>
      <c r="K106" s="15">
        <v>4482</v>
      </c>
      <c r="L106" s="15">
        <v>3647</v>
      </c>
      <c r="M106" s="15">
        <v>32</v>
      </c>
      <c r="N106" s="2" t="s">
        <v>45</v>
      </c>
      <c r="O106" s="2" t="s">
        <v>54</v>
      </c>
      <c r="P106" s="2" t="s">
        <v>43</v>
      </c>
      <c r="Q106" s="20">
        <v>36103</v>
      </c>
      <c r="R106">
        <v>1625</v>
      </c>
      <c r="S106" s="38">
        <f t="shared" si="5"/>
        <v>1.6009749882281252E-2</v>
      </c>
      <c r="V106" s="39"/>
    </row>
    <row r="107" spans="1:28" ht="14.25" customHeight="1" x14ac:dyDescent="0.3">
      <c r="A107" s="2" t="s">
        <v>143</v>
      </c>
      <c r="B107" s="2" t="s">
        <v>27</v>
      </c>
      <c r="C107" s="12">
        <v>45692</v>
      </c>
      <c r="D107" s="2" t="s">
        <v>39</v>
      </c>
      <c r="E107" s="2" t="s">
        <v>40</v>
      </c>
      <c r="F107" s="15">
        <v>4619</v>
      </c>
      <c r="G107" s="15">
        <v>821</v>
      </c>
      <c r="H107" s="15">
        <v>499</v>
      </c>
      <c r="I107" s="15">
        <f t="shared" si="3"/>
        <v>5939</v>
      </c>
      <c r="J107" s="17">
        <f t="shared" si="4"/>
        <v>8.5718409468138843E-2</v>
      </c>
      <c r="K107" s="15">
        <v>69285</v>
      </c>
      <c r="L107" s="15">
        <v>69141</v>
      </c>
      <c r="M107" s="15">
        <v>298</v>
      </c>
      <c r="N107" s="2" t="s">
        <v>22</v>
      </c>
      <c r="O107" s="2"/>
      <c r="P107" s="2" t="s">
        <v>18</v>
      </c>
      <c r="Q107" s="20">
        <v>26103</v>
      </c>
      <c r="R107">
        <v>1706</v>
      </c>
      <c r="S107" s="38">
        <f t="shared" si="5"/>
        <v>0.22752174079607707</v>
      </c>
      <c r="V107" s="39"/>
    </row>
    <row r="108" spans="1:28" ht="14.25" customHeight="1" x14ac:dyDescent="0.3">
      <c r="A108" s="2" t="s">
        <v>144</v>
      </c>
      <c r="B108" s="2" t="s">
        <v>25</v>
      </c>
      <c r="C108" s="12">
        <v>45464</v>
      </c>
      <c r="D108" s="2" t="s">
        <v>39</v>
      </c>
      <c r="E108" s="2" t="s">
        <v>40</v>
      </c>
      <c r="F108" s="15">
        <v>4832</v>
      </c>
      <c r="G108" s="15">
        <v>893</v>
      </c>
      <c r="H108" s="15">
        <v>10</v>
      </c>
      <c r="I108" s="15">
        <f t="shared" si="3"/>
        <v>5735</v>
      </c>
      <c r="J108" s="17">
        <f t="shared" si="4"/>
        <v>6.2467323109097243E-2</v>
      </c>
      <c r="K108" s="15">
        <v>91808</v>
      </c>
      <c r="L108" s="15">
        <v>91296</v>
      </c>
      <c r="M108" s="15">
        <v>182</v>
      </c>
      <c r="N108" s="2" t="s">
        <v>17</v>
      </c>
      <c r="O108" s="2" t="s">
        <v>45</v>
      </c>
      <c r="P108" s="2" t="s">
        <v>31</v>
      </c>
      <c r="Q108" s="20">
        <v>3455</v>
      </c>
      <c r="R108">
        <v>1173</v>
      </c>
      <c r="S108" s="38">
        <f t="shared" si="5"/>
        <v>1.6599131693198264</v>
      </c>
      <c r="V108" s="39"/>
    </row>
    <row r="109" spans="1:28" ht="14.25" customHeight="1" x14ac:dyDescent="0.3">
      <c r="A109" s="2" t="s">
        <v>145</v>
      </c>
      <c r="B109" s="2" t="s">
        <v>14</v>
      </c>
      <c r="C109" s="12">
        <v>45741</v>
      </c>
      <c r="D109" s="2" t="s">
        <v>50</v>
      </c>
      <c r="E109" s="2" t="s">
        <v>51</v>
      </c>
      <c r="F109" s="15">
        <v>4050</v>
      </c>
      <c r="G109" s="15">
        <v>871</v>
      </c>
      <c r="H109" s="15">
        <v>347</v>
      </c>
      <c r="I109" s="15">
        <f t="shared" si="3"/>
        <v>5268</v>
      </c>
      <c r="J109" s="17">
        <f t="shared" si="4"/>
        <v>0.10005698005698006</v>
      </c>
      <c r="K109" s="15">
        <v>52650</v>
      </c>
      <c r="L109" s="15">
        <v>51755</v>
      </c>
      <c r="M109" s="15">
        <v>209</v>
      </c>
      <c r="N109" s="2" t="s">
        <v>45</v>
      </c>
      <c r="O109" s="2" t="s">
        <v>54</v>
      </c>
      <c r="P109" s="2" t="s">
        <v>18</v>
      </c>
      <c r="Q109" s="20">
        <v>40888</v>
      </c>
      <c r="R109">
        <v>291</v>
      </c>
      <c r="S109" s="38">
        <f t="shared" si="5"/>
        <v>0.12883975738603012</v>
      </c>
      <c r="V109" s="39"/>
    </row>
    <row r="110" spans="1:28" ht="14.25" customHeight="1" x14ac:dyDescent="0.3">
      <c r="A110" s="2" t="s">
        <v>146</v>
      </c>
      <c r="B110" s="2" t="s">
        <v>14</v>
      </c>
      <c r="C110" s="12">
        <v>45512</v>
      </c>
      <c r="D110" s="2" t="s">
        <v>28</v>
      </c>
      <c r="E110" s="2" t="s">
        <v>29</v>
      </c>
      <c r="F110" s="15">
        <v>3649</v>
      </c>
      <c r="G110" s="15">
        <v>215</v>
      </c>
      <c r="H110" s="15">
        <v>413</v>
      </c>
      <c r="I110" s="15">
        <f t="shared" si="3"/>
        <v>4277</v>
      </c>
      <c r="J110" s="17">
        <f t="shared" si="4"/>
        <v>0.16744313510550835</v>
      </c>
      <c r="K110" s="15">
        <v>25543</v>
      </c>
      <c r="L110" s="15">
        <v>24963</v>
      </c>
      <c r="M110" s="15">
        <v>167</v>
      </c>
      <c r="N110" s="2" t="s">
        <v>22</v>
      </c>
      <c r="O110" s="2" t="s">
        <v>45</v>
      </c>
      <c r="P110" s="2" t="s">
        <v>18</v>
      </c>
      <c r="Q110" s="20">
        <v>22724</v>
      </c>
      <c r="R110">
        <v>1119</v>
      </c>
      <c r="S110" s="38">
        <f t="shared" si="5"/>
        <v>0.18821510297482838</v>
      </c>
      <c r="V110" s="39"/>
    </row>
    <row r="111" spans="1:28" ht="14.25" customHeight="1" x14ac:dyDescent="0.3">
      <c r="A111" s="2" t="s">
        <v>147</v>
      </c>
      <c r="B111" s="2" t="s">
        <v>27</v>
      </c>
      <c r="C111" s="12">
        <v>45502</v>
      </c>
      <c r="D111" s="2" t="s">
        <v>15</v>
      </c>
      <c r="E111" s="2" t="s">
        <v>16</v>
      </c>
      <c r="F111" s="15">
        <v>3523</v>
      </c>
      <c r="G111" s="15">
        <v>753</v>
      </c>
      <c r="H111" s="15">
        <v>482</v>
      </c>
      <c r="I111" s="15">
        <f t="shared" si="3"/>
        <v>4758</v>
      </c>
      <c r="J111" s="17">
        <f t="shared" si="4"/>
        <v>0.12277759141227776</v>
      </c>
      <c r="K111" s="15">
        <v>38753</v>
      </c>
      <c r="L111" s="15">
        <v>38579</v>
      </c>
      <c r="M111" s="15">
        <v>270</v>
      </c>
      <c r="N111" s="2" t="s">
        <v>54</v>
      </c>
      <c r="O111" s="2" t="s">
        <v>45</v>
      </c>
      <c r="P111" s="2" t="s">
        <v>23</v>
      </c>
      <c r="Q111" s="20">
        <v>18601</v>
      </c>
      <c r="R111">
        <v>1373</v>
      </c>
      <c r="S111" s="38">
        <f t="shared" si="5"/>
        <v>0.25579269931724102</v>
      </c>
      <c r="V111" s="39"/>
    </row>
    <row r="112" spans="1:28" ht="14.25" customHeight="1" x14ac:dyDescent="0.3">
      <c r="A112" s="2" t="s">
        <v>148</v>
      </c>
      <c r="B112" s="2" t="s">
        <v>25</v>
      </c>
      <c r="C112" s="12">
        <v>45619</v>
      </c>
      <c r="D112" s="2" t="s">
        <v>39</v>
      </c>
      <c r="E112" s="2" t="s">
        <v>40</v>
      </c>
      <c r="F112" s="15">
        <v>2719</v>
      </c>
      <c r="G112" s="15">
        <v>17</v>
      </c>
      <c r="H112" s="15">
        <v>285</v>
      </c>
      <c r="I112" s="15">
        <f t="shared" si="3"/>
        <v>3021</v>
      </c>
      <c r="J112" s="17">
        <f t="shared" si="4"/>
        <v>7.4071349760941527E-2</v>
      </c>
      <c r="K112" s="15">
        <v>40785</v>
      </c>
      <c r="L112" s="15">
        <v>40281</v>
      </c>
      <c r="M112" s="15">
        <v>40</v>
      </c>
      <c r="N112" s="2" t="s">
        <v>22</v>
      </c>
      <c r="O112" s="2" t="s">
        <v>45</v>
      </c>
      <c r="P112" s="2" t="s">
        <v>31</v>
      </c>
      <c r="Q112" s="20">
        <v>20861</v>
      </c>
      <c r="R112">
        <v>1727</v>
      </c>
      <c r="S112" s="38">
        <f t="shared" si="5"/>
        <v>0.14481568477062462</v>
      </c>
      <c r="V112" s="39"/>
    </row>
    <row r="113" spans="1:25" ht="14.25" customHeight="1" x14ac:dyDescent="0.3">
      <c r="A113" s="2" t="s">
        <v>149</v>
      </c>
      <c r="B113" s="2" t="s">
        <v>14</v>
      </c>
      <c r="C113" s="12">
        <v>45570</v>
      </c>
      <c r="D113" s="2" t="s">
        <v>28</v>
      </c>
      <c r="E113" s="2" t="s">
        <v>29</v>
      </c>
      <c r="F113" s="15">
        <v>1957</v>
      </c>
      <c r="G113" s="15">
        <v>877</v>
      </c>
      <c r="H113" s="15">
        <v>238</v>
      </c>
      <c r="I113" s="15">
        <f t="shared" si="3"/>
        <v>3072</v>
      </c>
      <c r="J113" s="17">
        <f t="shared" si="4"/>
        <v>0.17441662408448305</v>
      </c>
      <c r="K113" s="15">
        <v>17613</v>
      </c>
      <c r="L113" s="15">
        <v>16865</v>
      </c>
      <c r="M113" s="15">
        <v>297</v>
      </c>
      <c r="N113" s="2" t="s">
        <v>22</v>
      </c>
      <c r="O113" s="2" t="s">
        <v>17</v>
      </c>
      <c r="P113" s="2" t="s">
        <v>31</v>
      </c>
      <c r="Q113" s="20">
        <v>46625</v>
      </c>
      <c r="R113">
        <v>573</v>
      </c>
      <c r="S113" s="38">
        <f t="shared" si="5"/>
        <v>6.5887399463806964E-2</v>
      </c>
      <c r="V113" s="39"/>
      <c r="W113" s="18" t="s">
        <v>360</v>
      </c>
      <c r="X113" t="s">
        <v>381</v>
      </c>
      <c r="Y113" t="s">
        <v>382</v>
      </c>
    </row>
    <row r="114" spans="1:25" ht="14.25" customHeight="1" x14ac:dyDescent="0.3">
      <c r="A114" s="2" t="s">
        <v>150</v>
      </c>
      <c r="B114" s="2" t="s">
        <v>14</v>
      </c>
      <c r="C114" s="12">
        <v>45567</v>
      </c>
      <c r="D114" s="2" t="s">
        <v>34</v>
      </c>
      <c r="E114" s="2" t="s">
        <v>35</v>
      </c>
      <c r="F114" s="15">
        <v>4419</v>
      </c>
      <c r="G114" s="15">
        <v>236</v>
      </c>
      <c r="H114" s="15">
        <v>369</v>
      </c>
      <c r="I114" s="15">
        <f t="shared" si="3"/>
        <v>5024</v>
      </c>
      <c r="J114" s="17">
        <f t="shared" si="4"/>
        <v>0.11369088028965829</v>
      </c>
      <c r="K114" s="15">
        <v>44190</v>
      </c>
      <c r="L114" s="15">
        <v>43582</v>
      </c>
      <c r="M114" s="15">
        <v>10</v>
      </c>
      <c r="N114" s="2" t="s">
        <v>36</v>
      </c>
      <c r="O114" s="2"/>
      <c r="P114" s="2" t="s">
        <v>43</v>
      </c>
      <c r="Q114" s="20">
        <v>20692</v>
      </c>
      <c r="R114">
        <v>1432</v>
      </c>
      <c r="S114" s="38">
        <f t="shared" si="5"/>
        <v>0.2427991494297313</v>
      </c>
      <c r="V114" s="39"/>
      <c r="W114" s="19" t="s">
        <v>23</v>
      </c>
      <c r="X114">
        <v>1157507</v>
      </c>
      <c r="Y114">
        <v>0.25552674843435075</v>
      </c>
    </row>
    <row r="115" spans="1:25" ht="14.25" customHeight="1" x14ac:dyDescent="0.3">
      <c r="A115" s="2" t="s">
        <v>151</v>
      </c>
      <c r="B115" s="2" t="s">
        <v>14</v>
      </c>
      <c r="C115" s="12">
        <v>45610</v>
      </c>
      <c r="D115" s="2" t="s">
        <v>28</v>
      </c>
      <c r="E115" s="2" t="s">
        <v>29</v>
      </c>
      <c r="F115" s="15">
        <v>4000</v>
      </c>
      <c r="G115" s="15">
        <v>689</v>
      </c>
      <c r="H115" s="15">
        <v>488</v>
      </c>
      <c r="I115" s="15">
        <f t="shared" si="3"/>
        <v>5177</v>
      </c>
      <c r="J115" s="17">
        <f t="shared" si="4"/>
        <v>0.12942500000000001</v>
      </c>
      <c r="K115" s="15">
        <v>40000</v>
      </c>
      <c r="L115" s="15">
        <v>39569</v>
      </c>
      <c r="M115" s="15">
        <v>44</v>
      </c>
      <c r="N115" s="2" t="s">
        <v>54</v>
      </c>
      <c r="O115" s="2" t="s">
        <v>22</v>
      </c>
      <c r="P115" s="2" t="s">
        <v>31</v>
      </c>
      <c r="Q115" s="20">
        <v>18656</v>
      </c>
      <c r="R115">
        <v>1377</v>
      </c>
      <c r="S115" s="38">
        <f t="shared" si="5"/>
        <v>0.27749785591766724</v>
      </c>
      <c r="V115" s="39"/>
      <c r="W115" s="19" t="s">
        <v>18</v>
      </c>
      <c r="X115">
        <v>997208</v>
      </c>
      <c r="Y115">
        <v>0.26578607472061999</v>
      </c>
    </row>
    <row r="116" spans="1:25" ht="14.25" customHeight="1" x14ac:dyDescent="0.3">
      <c r="A116" s="2" t="s">
        <v>152</v>
      </c>
      <c r="B116" s="2" t="s">
        <v>14</v>
      </c>
      <c r="C116" s="12">
        <v>45788</v>
      </c>
      <c r="D116" s="2" t="s">
        <v>39</v>
      </c>
      <c r="E116" s="2" t="s">
        <v>40</v>
      </c>
      <c r="F116" s="15">
        <v>2493</v>
      </c>
      <c r="G116" s="15">
        <v>97</v>
      </c>
      <c r="H116" s="15">
        <v>44</v>
      </c>
      <c r="I116" s="15">
        <f t="shared" si="3"/>
        <v>2634</v>
      </c>
      <c r="J116" s="17">
        <f t="shared" si="4"/>
        <v>6.2150491965739366E-2</v>
      </c>
      <c r="K116" s="15">
        <v>42381</v>
      </c>
      <c r="L116" s="15">
        <v>41991</v>
      </c>
      <c r="M116" s="15">
        <v>242</v>
      </c>
      <c r="N116" s="2" t="s">
        <v>17</v>
      </c>
      <c r="O116" s="2" t="s">
        <v>45</v>
      </c>
      <c r="P116" s="2" t="s">
        <v>18</v>
      </c>
      <c r="Q116" s="20">
        <v>13316</v>
      </c>
      <c r="R116">
        <v>1359</v>
      </c>
      <c r="S116" s="38">
        <f t="shared" si="5"/>
        <v>0.1978071492940823</v>
      </c>
      <c r="V116" s="39"/>
      <c r="W116" s="19" t="s">
        <v>31</v>
      </c>
      <c r="X116">
        <v>1503014</v>
      </c>
      <c r="Y116">
        <v>0.17054997491706664</v>
      </c>
    </row>
    <row r="117" spans="1:25" ht="14.25" customHeight="1" x14ac:dyDescent="0.3">
      <c r="A117" s="2" t="s">
        <v>153</v>
      </c>
      <c r="B117" s="2" t="s">
        <v>25</v>
      </c>
      <c r="C117" s="12">
        <v>45734</v>
      </c>
      <c r="D117" s="2" t="s">
        <v>15</v>
      </c>
      <c r="E117" s="2" t="s">
        <v>16</v>
      </c>
      <c r="F117" s="15">
        <v>3704</v>
      </c>
      <c r="G117" s="15">
        <v>186</v>
      </c>
      <c r="H117" s="15">
        <v>458</v>
      </c>
      <c r="I117" s="15">
        <f t="shared" si="3"/>
        <v>4348</v>
      </c>
      <c r="J117" s="17">
        <f t="shared" si="4"/>
        <v>0.16769515581610614</v>
      </c>
      <c r="K117" s="15">
        <v>25928</v>
      </c>
      <c r="L117" s="15">
        <v>25081</v>
      </c>
      <c r="M117" s="15">
        <v>131</v>
      </c>
      <c r="N117" s="2" t="s">
        <v>45</v>
      </c>
      <c r="O117" s="2"/>
      <c r="P117" s="2" t="s">
        <v>18</v>
      </c>
      <c r="Q117" s="20">
        <v>49558</v>
      </c>
      <c r="R117">
        <v>876</v>
      </c>
      <c r="S117" s="38">
        <f t="shared" si="5"/>
        <v>8.7735582549739705E-2</v>
      </c>
      <c r="V117" s="39"/>
      <c r="W117" s="19" t="s">
        <v>43</v>
      </c>
      <c r="X117">
        <v>1175187</v>
      </c>
      <c r="Y117">
        <v>0.1877233155234018</v>
      </c>
    </row>
    <row r="118" spans="1:25" ht="14.25" customHeight="1" x14ac:dyDescent="0.3">
      <c r="A118" s="2" t="s">
        <v>154</v>
      </c>
      <c r="B118" s="2" t="s">
        <v>14</v>
      </c>
      <c r="C118" s="12">
        <v>45600</v>
      </c>
      <c r="D118" s="2" t="s">
        <v>39</v>
      </c>
      <c r="E118" s="2" t="s">
        <v>40</v>
      </c>
      <c r="F118" s="15">
        <v>1606</v>
      </c>
      <c r="G118" s="15">
        <v>451</v>
      </c>
      <c r="H118" s="15">
        <v>405</v>
      </c>
      <c r="I118" s="15">
        <f t="shared" si="3"/>
        <v>2462</v>
      </c>
      <c r="J118" s="17">
        <f t="shared" si="4"/>
        <v>0.11792317271769326</v>
      </c>
      <c r="K118" s="15">
        <v>20878</v>
      </c>
      <c r="L118" s="15">
        <v>20190</v>
      </c>
      <c r="M118" s="15">
        <v>219</v>
      </c>
      <c r="N118" s="2" t="s">
        <v>17</v>
      </c>
      <c r="O118" s="2" t="s">
        <v>45</v>
      </c>
      <c r="P118" s="2" t="s">
        <v>23</v>
      </c>
      <c r="Q118" s="20">
        <v>4683</v>
      </c>
      <c r="R118">
        <v>684</v>
      </c>
      <c r="S118" s="38">
        <f t="shared" si="5"/>
        <v>0.52573136878069615</v>
      </c>
      <c r="V118" s="39"/>
      <c r="W118" s="19" t="s">
        <v>361</v>
      </c>
      <c r="X118">
        <v>4832916</v>
      </c>
      <c r="Y118">
        <v>0.21472895452765992</v>
      </c>
    </row>
    <row r="119" spans="1:25" ht="14.25" customHeight="1" x14ac:dyDescent="0.3">
      <c r="A119" s="2" t="s">
        <v>155</v>
      </c>
      <c r="B119" s="2" t="s">
        <v>33</v>
      </c>
      <c r="C119" s="12">
        <v>45600</v>
      </c>
      <c r="D119" s="2" t="s">
        <v>39</v>
      </c>
      <c r="E119" s="2" t="s">
        <v>40</v>
      </c>
      <c r="F119" s="15">
        <v>4551</v>
      </c>
      <c r="G119" s="15">
        <v>714</v>
      </c>
      <c r="H119" s="15">
        <v>207</v>
      </c>
      <c r="I119" s="15">
        <f t="shared" si="3"/>
        <v>5472</v>
      </c>
      <c r="J119" s="17">
        <f t="shared" si="4"/>
        <v>8.0158206987475278E-2</v>
      </c>
      <c r="K119" s="15">
        <v>68265</v>
      </c>
      <c r="L119" s="15">
        <v>67754</v>
      </c>
      <c r="M119" s="15">
        <v>57</v>
      </c>
      <c r="N119" s="2" t="s">
        <v>36</v>
      </c>
      <c r="O119" s="2"/>
      <c r="P119" s="2" t="s">
        <v>23</v>
      </c>
      <c r="Q119" s="20">
        <v>47502</v>
      </c>
      <c r="R119">
        <v>730</v>
      </c>
      <c r="S119" s="38">
        <f t="shared" si="5"/>
        <v>0.1151951496779083</v>
      </c>
      <c r="V119" s="39"/>
    </row>
    <row r="120" spans="1:25" ht="14.25" customHeight="1" x14ac:dyDescent="0.3">
      <c r="A120" s="2" t="s">
        <v>156</v>
      </c>
      <c r="B120" s="2" t="s">
        <v>27</v>
      </c>
      <c r="C120" s="12">
        <v>45695</v>
      </c>
      <c r="D120" s="2" t="s">
        <v>15</v>
      </c>
      <c r="E120" s="2" t="s">
        <v>16</v>
      </c>
      <c r="F120" s="15">
        <v>1970</v>
      </c>
      <c r="G120" s="15">
        <v>675</v>
      </c>
      <c r="H120" s="15">
        <v>478</v>
      </c>
      <c r="I120" s="15">
        <f t="shared" si="3"/>
        <v>3123</v>
      </c>
      <c r="J120" s="17">
        <f t="shared" si="4"/>
        <v>0.31705583756345179</v>
      </c>
      <c r="K120" s="15">
        <v>9850</v>
      </c>
      <c r="L120" s="15">
        <v>8924</v>
      </c>
      <c r="M120" s="15">
        <v>117</v>
      </c>
      <c r="N120" s="2" t="s">
        <v>36</v>
      </c>
      <c r="O120" s="2"/>
      <c r="P120" s="2" t="s">
        <v>43</v>
      </c>
      <c r="Q120" s="20">
        <v>35359</v>
      </c>
      <c r="R120">
        <v>911</v>
      </c>
      <c r="S120" s="38">
        <f t="shared" si="5"/>
        <v>8.8322633558641367E-2</v>
      </c>
      <c r="V120" s="39"/>
    </row>
    <row r="121" spans="1:25" ht="14.25" customHeight="1" x14ac:dyDescent="0.3">
      <c r="A121" s="2" t="s">
        <v>157</v>
      </c>
      <c r="B121" s="2" t="s">
        <v>33</v>
      </c>
      <c r="C121" s="12">
        <v>45586</v>
      </c>
      <c r="D121" s="2" t="s">
        <v>28</v>
      </c>
      <c r="E121" s="2" t="s">
        <v>29</v>
      </c>
      <c r="F121" s="15">
        <v>780</v>
      </c>
      <c r="G121" s="15">
        <v>928</v>
      </c>
      <c r="H121" s="15">
        <v>301</v>
      </c>
      <c r="I121" s="15">
        <f t="shared" si="3"/>
        <v>2009</v>
      </c>
      <c r="J121" s="17">
        <f t="shared" si="4"/>
        <v>0.23414918414918415</v>
      </c>
      <c r="K121" s="15">
        <v>8580</v>
      </c>
      <c r="L121" s="15">
        <v>8081</v>
      </c>
      <c r="M121" s="15">
        <v>91</v>
      </c>
      <c r="N121" s="2" t="s">
        <v>17</v>
      </c>
      <c r="O121" s="2" t="s">
        <v>22</v>
      </c>
      <c r="P121" s="2" t="s">
        <v>43</v>
      </c>
      <c r="Q121" s="20">
        <v>14154</v>
      </c>
      <c r="R121">
        <v>1589</v>
      </c>
      <c r="S121" s="38">
        <f t="shared" si="5"/>
        <v>0.14193867457962414</v>
      </c>
      <c r="V121" s="39"/>
    </row>
    <row r="122" spans="1:25" ht="14.25" customHeight="1" x14ac:dyDescent="0.3">
      <c r="A122" s="2" t="s">
        <v>158</v>
      </c>
      <c r="B122" s="2" t="s">
        <v>27</v>
      </c>
      <c r="C122" s="12">
        <v>45502</v>
      </c>
      <c r="D122" s="2" t="s">
        <v>28</v>
      </c>
      <c r="E122" s="2" t="s">
        <v>29</v>
      </c>
      <c r="F122" s="15">
        <v>498</v>
      </c>
      <c r="G122" s="15">
        <v>701</v>
      </c>
      <c r="H122" s="15">
        <v>412</v>
      </c>
      <c r="I122" s="15">
        <f t="shared" si="3"/>
        <v>1611</v>
      </c>
      <c r="J122" s="17">
        <f t="shared" si="4"/>
        <v>0.32349397590361445</v>
      </c>
      <c r="K122" s="15">
        <v>4980</v>
      </c>
      <c r="L122" s="15">
        <v>4185</v>
      </c>
      <c r="M122" s="15">
        <v>185</v>
      </c>
      <c r="N122" s="2" t="s">
        <v>54</v>
      </c>
      <c r="O122" s="2" t="s">
        <v>45</v>
      </c>
      <c r="P122" s="2" t="s">
        <v>43</v>
      </c>
      <c r="Q122" s="20">
        <v>4313</v>
      </c>
      <c r="R122">
        <v>1765</v>
      </c>
      <c r="S122" s="38">
        <f t="shared" si="5"/>
        <v>0.37352191050313005</v>
      </c>
      <c r="V122" s="39"/>
    </row>
    <row r="123" spans="1:25" ht="14.25" customHeight="1" x14ac:dyDescent="0.3">
      <c r="A123" s="2" t="s">
        <v>159</v>
      </c>
      <c r="B123" s="2" t="s">
        <v>27</v>
      </c>
      <c r="C123" s="12">
        <v>45567</v>
      </c>
      <c r="D123" s="2" t="s">
        <v>20</v>
      </c>
      <c r="E123" s="2" t="s">
        <v>21</v>
      </c>
      <c r="F123" s="15">
        <v>3432</v>
      </c>
      <c r="G123" s="15">
        <v>869</v>
      </c>
      <c r="H123" s="15">
        <v>123</v>
      </c>
      <c r="I123" s="15">
        <f t="shared" si="3"/>
        <v>4424</v>
      </c>
      <c r="J123" s="17">
        <f t="shared" si="4"/>
        <v>8.0565268065268064E-2</v>
      </c>
      <c r="K123" s="15">
        <v>54912</v>
      </c>
      <c r="L123" s="15">
        <v>53916</v>
      </c>
      <c r="M123" s="15">
        <v>264</v>
      </c>
      <c r="N123" s="2" t="s">
        <v>22</v>
      </c>
      <c r="O123" s="2" t="s">
        <v>36</v>
      </c>
      <c r="P123" s="2" t="s">
        <v>23</v>
      </c>
      <c r="Q123" s="20">
        <v>25140</v>
      </c>
      <c r="R123">
        <v>1776</v>
      </c>
      <c r="S123" s="38">
        <f t="shared" si="5"/>
        <v>0.17597454256165473</v>
      </c>
      <c r="V123" s="39"/>
    </row>
    <row r="124" spans="1:25" ht="14.25" customHeight="1" x14ac:dyDescent="0.3">
      <c r="A124" s="2" t="s">
        <v>160</v>
      </c>
      <c r="B124" s="2" t="s">
        <v>27</v>
      </c>
      <c r="C124" s="12">
        <v>45457</v>
      </c>
      <c r="D124" s="2" t="s">
        <v>28</v>
      </c>
      <c r="E124" s="2" t="s">
        <v>29</v>
      </c>
      <c r="F124" s="15">
        <v>4363</v>
      </c>
      <c r="G124" s="15">
        <v>649</v>
      </c>
      <c r="H124" s="15">
        <v>140</v>
      </c>
      <c r="I124" s="15">
        <f t="shared" si="3"/>
        <v>5152</v>
      </c>
      <c r="J124" s="17">
        <f t="shared" si="4"/>
        <v>0.23616777446710979</v>
      </c>
      <c r="K124" s="15">
        <v>21815</v>
      </c>
      <c r="L124" s="15">
        <v>21481</v>
      </c>
      <c r="M124" s="15">
        <v>157</v>
      </c>
      <c r="N124" s="2" t="s">
        <v>17</v>
      </c>
      <c r="O124" s="2" t="s">
        <v>22</v>
      </c>
      <c r="P124" s="2" t="s">
        <v>23</v>
      </c>
      <c r="Q124" s="20">
        <v>9118</v>
      </c>
      <c r="R124">
        <v>1529</v>
      </c>
      <c r="S124" s="38">
        <f t="shared" si="5"/>
        <v>0.56503619214740075</v>
      </c>
      <c r="V124" s="39"/>
    </row>
    <row r="125" spans="1:25" ht="14.25" customHeight="1" x14ac:dyDescent="0.3">
      <c r="A125" s="2" t="s">
        <v>161</v>
      </c>
      <c r="B125" s="2" t="s">
        <v>25</v>
      </c>
      <c r="C125" s="12">
        <v>45753</v>
      </c>
      <c r="D125" s="2" t="s">
        <v>34</v>
      </c>
      <c r="E125" s="2" t="s">
        <v>35</v>
      </c>
      <c r="F125" s="15">
        <v>736</v>
      </c>
      <c r="G125" s="15">
        <v>771</v>
      </c>
      <c r="H125" s="15">
        <v>225</v>
      </c>
      <c r="I125" s="15">
        <f t="shared" si="3"/>
        <v>1732</v>
      </c>
      <c r="J125" s="17">
        <f t="shared" si="4"/>
        <v>0.33618012422360249</v>
      </c>
      <c r="K125" s="15">
        <v>5152</v>
      </c>
      <c r="L125" s="15">
        <v>4706</v>
      </c>
      <c r="M125" s="15">
        <v>19</v>
      </c>
      <c r="N125" s="2" t="s">
        <v>45</v>
      </c>
      <c r="O125" s="2"/>
      <c r="P125" s="2" t="s">
        <v>31</v>
      </c>
      <c r="Q125" s="20">
        <v>39931</v>
      </c>
      <c r="R125">
        <v>1460</v>
      </c>
      <c r="S125" s="38">
        <f t="shared" si="5"/>
        <v>4.3374821567203424E-2</v>
      </c>
      <c r="V125" s="39"/>
    </row>
    <row r="126" spans="1:25" ht="14.25" customHeight="1" x14ac:dyDescent="0.3">
      <c r="A126" s="2" t="s">
        <v>162</v>
      </c>
      <c r="B126" s="2" t="s">
        <v>14</v>
      </c>
      <c r="C126" s="12">
        <v>45543</v>
      </c>
      <c r="D126" s="2" t="s">
        <v>34</v>
      </c>
      <c r="E126" s="2" t="s">
        <v>35</v>
      </c>
      <c r="F126" s="15">
        <v>3811</v>
      </c>
      <c r="G126" s="15">
        <v>866</v>
      </c>
      <c r="H126" s="15">
        <v>216</v>
      </c>
      <c r="I126" s="15">
        <f t="shared" si="3"/>
        <v>4893</v>
      </c>
      <c r="J126" s="17">
        <f t="shared" si="4"/>
        <v>0.14265722032712325</v>
      </c>
      <c r="K126" s="15">
        <v>34299</v>
      </c>
      <c r="L126" s="15">
        <v>34088</v>
      </c>
      <c r="M126" s="15">
        <v>233</v>
      </c>
      <c r="N126" s="2" t="s">
        <v>45</v>
      </c>
      <c r="O126" s="2"/>
      <c r="P126" s="2" t="s">
        <v>31</v>
      </c>
      <c r="Q126" s="20">
        <v>37132</v>
      </c>
      <c r="R126">
        <v>903</v>
      </c>
      <c r="S126" s="38">
        <f t="shared" si="5"/>
        <v>0.13177313368523108</v>
      </c>
      <c r="V126" s="39"/>
    </row>
    <row r="127" spans="1:25" ht="14.25" customHeight="1" x14ac:dyDescent="0.3">
      <c r="A127" s="2" t="s">
        <v>163</v>
      </c>
      <c r="B127" s="2" t="s">
        <v>27</v>
      </c>
      <c r="C127" s="12">
        <v>45744</v>
      </c>
      <c r="D127" s="2" t="s">
        <v>34</v>
      </c>
      <c r="E127" s="2" t="s">
        <v>35</v>
      </c>
      <c r="F127" s="15">
        <v>4158</v>
      </c>
      <c r="G127" s="15">
        <v>167</v>
      </c>
      <c r="H127" s="15">
        <v>241</v>
      </c>
      <c r="I127" s="15">
        <f t="shared" si="3"/>
        <v>4566</v>
      </c>
      <c r="J127" s="17">
        <f t="shared" si="4"/>
        <v>9.9829463465827106E-2</v>
      </c>
      <c r="K127" s="15">
        <v>45738</v>
      </c>
      <c r="L127" s="15">
        <v>45183</v>
      </c>
      <c r="M127" s="15">
        <v>142</v>
      </c>
      <c r="N127" s="2" t="s">
        <v>22</v>
      </c>
      <c r="O127" s="2"/>
      <c r="P127" s="2" t="s">
        <v>23</v>
      </c>
      <c r="Q127" s="20">
        <v>17951</v>
      </c>
      <c r="R127">
        <v>620</v>
      </c>
      <c r="S127" s="38">
        <f t="shared" si="5"/>
        <v>0.25435908863015988</v>
      </c>
      <c r="V127" s="39"/>
    </row>
    <row r="128" spans="1:25" ht="14.25" customHeight="1" x14ac:dyDescent="0.3">
      <c r="A128" s="2" t="s">
        <v>164</v>
      </c>
      <c r="B128" s="2" t="s">
        <v>33</v>
      </c>
      <c r="C128" s="12">
        <v>45684</v>
      </c>
      <c r="D128" s="2" t="s">
        <v>15</v>
      </c>
      <c r="E128" s="2" t="s">
        <v>16</v>
      </c>
      <c r="F128" s="15">
        <v>3452</v>
      </c>
      <c r="G128" s="15">
        <v>652</v>
      </c>
      <c r="H128" s="15">
        <v>442</v>
      </c>
      <c r="I128" s="15">
        <f t="shared" si="3"/>
        <v>4546</v>
      </c>
      <c r="J128" s="17">
        <f t="shared" si="4"/>
        <v>6.9311459413307311E-2</v>
      </c>
      <c r="K128" s="15">
        <v>65588</v>
      </c>
      <c r="L128" s="15">
        <v>65049</v>
      </c>
      <c r="M128" s="15">
        <v>158</v>
      </c>
      <c r="N128" s="2" t="s">
        <v>17</v>
      </c>
      <c r="O128" s="2" t="s">
        <v>45</v>
      </c>
      <c r="P128" s="2" t="s">
        <v>18</v>
      </c>
      <c r="Q128" s="20">
        <v>2798</v>
      </c>
      <c r="R128">
        <v>1188</v>
      </c>
      <c r="S128" s="38">
        <f t="shared" si="5"/>
        <v>1.6247319513938527</v>
      </c>
      <c r="V128" s="39"/>
    </row>
    <row r="129" spans="1:28" ht="14.25" customHeight="1" x14ac:dyDescent="0.3">
      <c r="A129" s="2" t="s">
        <v>165</v>
      </c>
      <c r="B129" s="2" t="s">
        <v>14</v>
      </c>
      <c r="C129" s="12">
        <v>45667</v>
      </c>
      <c r="D129" s="2" t="s">
        <v>39</v>
      </c>
      <c r="E129" s="2" t="s">
        <v>40</v>
      </c>
      <c r="F129" s="15">
        <v>3092</v>
      </c>
      <c r="G129" s="15">
        <v>106</v>
      </c>
      <c r="H129" s="15">
        <v>291</v>
      </c>
      <c r="I129" s="15">
        <f t="shared" si="3"/>
        <v>3489</v>
      </c>
      <c r="J129" s="17">
        <f t="shared" si="4"/>
        <v>0.12537731780940059</v>
      </c>
      <c r="K129" s="15">
        <v>27828</v>
      </c>
      <c r="L129" s="15">
        <v>27217</v>
      </c>
      <c r="M129" s="15">
        <v>102</v>
      </c>
      <c r="N129" s="2" t="s">
        <v>45</v>
      </c>
      <c r="O129" s="2"/>
      <c r="P129" s="2" t="s">
        <v>43</v>
      </c>
      <c r="Q129" s="20">
        <v>15045</v>
      </c>
      <c r="R129">
        <v>846</v>
      </c>
      <c r="S129" s="38">
        <f t="shared" si="5"/>
        <v>0.23190428713858424</v>
      </c>
      <c r="V129" s="39"/>
    </row>
    <row r="130" spans="1:28" ht="14.25" customHeight="1" x14ac:dyDescent="0.3">
      <c r="A130" s="2" t="s">
        <v>166</v>
      </c>
      <c r="B130" s="2" t="s">
        <v>14</v>
      </c>
      <c r="C130" s="12">
        <v>45494</v>
      </c>
      <c r="D130" s="2" t="s">
        <v>20</v>
      </c>
      <c r="E130" s="2" t="s">
        <v>21</v>
      </c>
      <c r="F130" s="15">
        <v>2147</v>
      </c>
      <c r="G130" s="15">
        <v>430</v>
      </c>
      <c r="H130" s="15">
        <v>393</v>
      </c>
      <c r="I130" s="15">
        <f t="shared" si="3"/>
        <v>2970</v>
      </c>
      <c r="J130" s="17">
        <f t="shared" si="4"/>
        <v>0.17291569632044715</v>
      </c>
      <c r="K130" s="15">
        <v>17176</v>
      </c>
      <c r="L130" s="15">
        <v>16483</v>
      </c>
      <c r="M130" s="15">
        <v>170</v>
      </c>
      <c r="N130" s="2" t="s">
        <v>54</v>
      </c>
      <c r="O130" s="2"/>
      <c r="P130" s="2" t="s">
        <v>43</v>
      </c>
      <c r="Q130" s="20">
        <v>14548</v>
      </c>
      <c r="R130">
        <v>1722</v>
      </c>
      <c r="S130" s="38">
        <f t="shared" si="5"/>
        <v>0.20415177343964805</v>
      </c>
      <c r="V130" s="39"/>
    </row>
    <row r="131" spans="1:28" ht="14.25" customHeight="1" x14ac:dyDescent="0.3">
      <c r="A131" s="2" t="s">
        <v>167</v>
      </c>
      <c r="B131" s="2" t="s">
        <v>25</v>
      </c>
      <c r="C131" s="12">
        <v>45564</v>
      </c>
      <c r="D131" s="2" t="s">
        <v>15</v>
      </c>
      <c r="E131" s="2" t="s">
        <v>16</v>
      </c>
      <c r="F131" s="15">
        <v>2936</v>
      </c>
      <c r="G131" s="15">
        <v>439</v>
      </c>
      <c r="H131" s="15">
        <v>44</v>
      </c>
      <c r="I131" s="15">
        <f t="shared" ref="I131:I194" si="6">SUM(F131+G131+H131)</f>
        <v>3419</v>
      </c>
      <c r="J131" s="17">
        <f t="shared" ref="J131:J194" si="7">(F131+G131+H131)/K131</f>
        <v>8.9577656675749323E-2</v>
      </c>
      <c r="K131" s="15">
        <v>38168</v>
      </c>
      <c r="L131" s="15">
        <v>37571</v>
      </c>
      <c r="M131" s="15">
        <v>22</v>
      </c>
      <c r="N131" s="2" t="s">
        <v>17</v>
      </c>
      <c r="O131" s="2"/>
      <c r="P131" s="2" t="s">
        <v>31</v>
      </c>
      <c r="Q131" s="20">
        <v>45708</v>
      </c>
      <c r="R131">
        <v>298</v>
      </c>
      <c r="S131" s="38">
        <f t="shared" ref="S131:S194" si="8">I131/Q131</f>
        <v>7.48009101251422E-2</v>
      </c>
      <c r="V131" s="39"/>
    </row>
    <row r="132" spans="1:28" ht="21" x14ac:dyDescent="0.4">
      <c r="A132" s="2" t="s">
        <v>168</v>
      </c>
      <c r="B132" s="2" t="s">
        <v>27</v>
      </c>
      <c r="C132" s="12">
        <v>45586</v>
      </c>
      <c r="D132" s="2" t="s">
        <v>15</v>
      </c>
      <c r="E132" s="2" t="s">
        <v>16</v>
      </c>
      <c r="F132" s="15">
        <v>4840</v>
      </c>
      <c r="G132" s="15">
        <v>658</v>
      </c>
      <c r="H132" s="15">
        <v>211</v>
      </c>
      <c r="I132" s="15">
        <f t="shared" si="6"/>
        <v>5709</v>
      </c>
      <c r="J132" s="17">
        <f t="shared" si="7"/>
        <v>0.13106060606060607</v>
      </c>
      <c r="K132" s="15">
        <v>43560</v>
      </c>
      <c r="L132" s="15">
        <v>43225</v>
      </c>
      <c r="M132" s="15">
        <v>57</v>
      </c>
      <c r="N132" s="2" t="s">
        <v>17</v>
      </c>
      <c r="O132" s="2" t="s">
        <v>22</v>
      </c>
      <c r="P132" s="2" t="s">
        <v>23</v>
      </c>
      <c r="Q132" s="20">
        <v>12350</v>
      </c>
      <c r="R132">
        <v>-144</v>
      </c>
      <c r="S132" s="38">
        <f t="shared" si="8"/>
        <v>0.46226720647773278</v>
      </c>
      <c r="V132" s="39"/>
      <c r="Y132" s="45" t="s">
        <v>386</v>
      </c>
      <c r="Z132" s="42"/>
      <c r="AA132" s="42"/>
      <c r="AB132" s="42"/>
    </row>
    <row r="133" spans="1:28" ht="14.25" customHeight="1" x14ac:dyDescent="0.3">
      <c r="A133" s="2" t="s">
        <v>169</v>
      </c>
      <c r="B133" s="2" t="s">
        <v>27</v>
      </c>
      <c r="C133" s="12">
        <v>45720</v>
      </c>
      <c r="D133" s="2" t="s">
        <v>28</v>
      </c>
      <c r="E133" s="2" t="s">
        <v>29</v>
      </c>
      <c r="F133" s="15">
        <v>1947</v>
      </c>
      <c r="G133" s="15">
        <v>842</v>
      </c>
      <c r="H133" s="15">
        <v>101</v>
      </c>
      <c r="I133" s="15">
        <f t="shared" si="6"/>
        <v>2890</v>
      </c>
      <c r="J133" s="17">
        <f t="shared" si="7"/>
        <v>0.13493953401503478</v>
      </c>
      <c r="K133" s="15">
        <v>21417</v>
      </c>
      <c r="L133" s="15">
        <v>20967</v>
      </c>
      <c r="M133" s="15">
        <v>186</v>
      </c>
      <c r="N133" s="2" t="s">
        <v>22</v>
      </c>
      <c r="O133" s="2"/>
      <c r="P133" s="2" t="s">
        <v>23</v>
      </c>
      <c r="Q133" s="20">
        <v>40868</v>
      </c>
      <c r="R133">
        <v>901</v>
      </c>
      <c r="S133" s="38">
        <f t="shared" si="8"/>
        <v>7.0715474209650589E-2</v>
      </c>
      <c r="V133" s="39"/>
    </row>
    <row r="134" spans="1:28" ht="14.25" customHeight="1" x14ac:dyDescent="0.3">
      <c r="A134" s="2" t="s">
        <v>170</v>
      </c>
      <c r="B134" s="2" t="s">
        <v>33</v>
      </c>
      <c r="C134" s="12">
        <v>45694</v>
      </c>
      <c r="D134" s="2" t="s">
        <v>39</v>
      </c>
      <c r="E134" s="2" t="s">
        <v>40</v>
      </c>
      <c r="F134" s="15">
        <v>2072</v>
      </c>
      <c r="G134" s="15">
        <v>532</v>
      </c>
      <c r="H134" s="15">
        <v>71</v>
      </c>
      <c r="I134" s="15">
        <f t="shared" si="6"/>
        <v>2675</v>
      </c>
      <c r="J134" s="17">
        <f t="shared" si="7"/>
        <v>7.172350922350923E-2</v>
      </c>
      <c r="K134" s="15">
        <v>37296</v>
      </c>
      <c r="L134" s="15">
        <v>36467</v>
      </c>
      <c r="M134" s="15">
        <v>25</v>
      </c>
      <c r="N134" s="2" t="s">
        <v>17</v>
      </c>
      <c r="O134" s="2"/>
      <c r="P134" s="2" t="s">
        <v>31</v>
      </c>
      <c r="Q134" s="20">
        <v>43122</v>
      </c>
      <c r="R134">
        <v>1572</v>
      </c>
      <c r="S134" s="38">
        <f t="shared" si="8"/>
        <v>6.2033300867306712E-2</v>
      </c>
      <c r="V134" s="39"/>
    </row>
    <row r="135" spans="1:28" ht="14.25" customHeight="1" x14ac:dyDescent="0.3">
      <c r="A135" s="2" t="s">
        <v>171</v>
      </c>
      <c r="B135" s="2" t="s">
        <v>14</v>
      </c>
      <c r="C135" s="12">
        <v>45771</v>
      </c>
      <c r="D135" s="2" t="s">
        <v>15</v>
      </c>
      <c r="E135" s="2" t="s">
        <v>16</v>
      </c>
      <c r="F135" s="15">
        <v>3731</v>
      </c>
      <c r="G135" s="15">
        <v>115</v>
      </c>
      <c r="H135" s="15">
        <v>135</v>
      </c>
      <c r="I135" s="15">
        <f t="shared" si="6"/>
        <v>3981</v>
      </c>
      <c r="J135" s="17">
        <f t="shared" si="7"/>
        <v>7.1133744304476013E-2</v>
      </c>
      <c r="K135" s="15">
        <v>55965</v>
      </c>
      <c r="L135" s="15">
        <v>55436</v>
      </c>
      <c r="M135" s="15">
        <v>103</v>
      </c>
      <c r="N135" s="2" t="s">
        <v>54</v>
      </c>
      <c r="O135" s="2"/>
      <c r="P135" s="2" t="s">
        <v>43</v>
      </c>
      <c r="Q135" s="20">
        <v>23853</v>
      </c>
      <c r="R135">
        <v>427</v>
      </c>
      <c r="S135" s="38">
        <f t="shared" si="8"/>
        <v>0.16689724562948058</v>
      </c>
      <c r="V135" s="39"/>
    </row>
    <row r="136" spans="1:28" ht="14.25" customHeight="1" x14ac:dyDescent="0.3">
      <c r="A136" s="2" t="s">
        <v>172</v>
      </c>
      <c r="B136" s="2" t="s">
        <v>33</v>
      </c>
      <c r="C136" s="12">
        <v>45624</v>
      </c>
      <c r="D136" s="2" t="s">
        <v>20</v>
      </c>
      <c r="E136" s="2" t="s">
        <v>21</v>
      </c>
      <c r="F136" s="15">
        <v>4213</v>
      </c>
      <c r="G136" s="15">
        <v>253</v>
      </c>
      <c r="H136" s="15">
        <v>434</v>
      </c>
      <c r="I136" s="15">
        <f t="shared" si="6"/>
        <v>4900</v>
      </c>
      <c r="J136" s="17">
        <f t="shared" si="7"/>
        <v>6.461481657304112E-2</v>
      </c>
      <c r="K136" s="15">
        <v>75834</v>
      </c>
      <c r="L136" s="15">
        <v>75437</v>
      </c>
      <c r="M136" s="15">
        <v>272</v>
      </c>
      <c r="N136" s="2" t="s">
        <v>36</v>
      </c>
      <c r="O136" s="2"/>
      <c r="P136" s="2" t="s">
        <v>31</v>
      </c>
      <c r="Q136" s="20">
        <v>45380</v>
      </c>
      <c r="R136">
        <v>891</v>
      </c>
      <c r="S136" s="38">
        <f t="shared" si="8"/>
        <v>0.10797708241516087</v>
      </c>
      <c r="V136" s="39"/>
    </row>
    <row r="137" spans="1:28" ht="14.25" customHeight="1" x14ac:dyDescent="0.3">
      <c r="A137" s="2" t="s">
        <v>173</v>
      </c>
      <c r="B137" s="2" t="s">
        <v>27</v>
      </c>
      <c r="C137" s="12">
        <v>45484</v>
      </c>
      <c r="D137" s="2" t="s">
        <v>20</v>
      </c>
      <c r="E137" s="2" t="s">
        <v>21</v>
      </c>
      <c r="F137" s="15">
        <v>3134</v>
      </c>
      <c r="G137" s="15">
        <v>888</v>
      </c>
      <c r="H137" s="15">
        <v>444</v>
      </c>
      <c r="I137" s="15">
        <f t="shared" si="6"/>
        <v>4466</v>
      </c>
      <c r="J137" s="17">
        <f t="shared" si="7"/>
        <v>0.20357370772176134</v>
      </c>
      <c r="K137" s="15">
        <v>21938</v>
      </c>
      <c r="L137" s="15">
        <v>21337</v>
      </c>
      <c r="M137" s="15">
        <v>130</v>
      </c>
      <c r="N137" s="2" t="s">
        <v>17</v>
      </c>
      <c r="O137" s="2" t="s">
        <v>22</v>
      </c>
      <c r="P137" s="2" t="s">
        <v>43</v>
      </c>
      <c r="Q137" s="20">
        <v>7705</v>
      </c>
      <c r="R137">
        <v>724</v>
      </c>
      <c r="S137" s="38">
        <f t="shared" si="8"/>
        <v>0.57962362102530829</v>
      </c>
      <c r="V137" s="39"/>
    </row>
    <row r="138" spans="1:28" ht="14.25" customHeight="1" x14ac:dyDescent="0.3">
      <c r="A138" s="2" t="s">
        <v>174</v>
      </c>
      <c r="B138" s="2" t="s">
        <v>33</v>
      </c>
      <c r="C138" s="12">
        <v>45504</v>
      </c>
      <c r="D138" s="2" t="s">
        <v>50</v>
      </c>
      <c r="E138" s="2" t="s">
        <v>51</v>
      </c>
      <c r="F138" s="15">
        <v>3008</v>
      </c>
      <c r="G138" s="15">
        <v>94</v>
      </c>
      <c r="H138" s="15">
        <v>37</v>
      </c>
      <c r="I138" s="15">
        <f t="shared" si="6"/>
        <v>3139</v>
      </c>
      <c r="J138" s="17">
        <f t="shared" si="7"/>
        <v>0.20871010638297871</v>
      </c>
      <c r="K138" s="15">
        <v>15040</v>
      </c>
      <c r="L138" s="15">
        <v>14639</v>
      </c>
      <c r="M138" s="15">
        <v>277</v>
      </c>
      <c r="N138" s="2" t="s">
        <v>54</v>
      </c>
      <c r="O138" s="2"/>
      <c r="P138" s="2" t="s">
        <v>18</v>
      </c>
      <c r="Q138" s="20">
        <v>25525</v>
      </c>
      <c r="R138">
        <v>-166</v>
      </c>
      <c r="S138" s="38">
        <f t="shared" si="8"/>
        <v>0.12297747306562194</v>
      </c>
      <c r="V138" s="39"/>
    </row>
    <row r="139" spans="1:28" ht="14.25" customHeight="1" x14ac:dyDescent="0.3">
      <c r="A139" s="2" t="s">
        <v>175</v>
      </c>
      <c r="B139" s="2" t="s">
        <v>14</v>
      </c>
      <c r="C139" s="12">
        <v>45745</v>
      </c>
      <c r="D139" s="2" t="s">
        <v>39</v>
      </c>
      <c r="E139" s="2" t="s">
        <v>40</v>
      </c>
      <c r="F139" s="15">
        <v>305</v>
      </c>
      <c r="G139" s="15">
        <v>187</v>
      </c>
      <c r="H139" s="15">
        <v>243</v>
      </c>
      <c r="I139" s="15">
        <f t="shared" si="6"/>
        <v>735</v>
      </c>
      <c r="J139" s="17">
        <f t="shared" si="7"/>
        <v>0.16065573770491803</v>
      </c>
      <c r="K139" s="15">
        <v>4575</v>
      </c>
      <c r="L139" s="15">
        <v>3704</v>
      </c>
      <c r="M139" s="15">
        <v>234</v>
      </c>
      <c r="N139" s="2" t="s">
        <v>22</v>
      </c>
      <c r="O139" s="2" t="s">
        <v>36</v>
      </c>
      <c r="P139" s="2" t="s">
        <v>43</v>
      </c>
      <c r="Q139" s="20">
        <v>20560</v>
      </c>
      <c r="R139">
        <v>898</v>
      </c>
      <c r="S139" s="38">
        <f t="shared" si="8"/>
        <v>3.5749027237354083E-2</v>
      </c>
      <c r="V139" s="39"/>
    </row>
    <row r="140" spans="1:28" ht="14.25" customHeight="1" x14ac:dyDescent="0.3">
      <c r="A140" s="2" t="s">
        <v>176</v>
      </c>
      <c r="B140" s="2" t="s">
        <v>25</v>
      </c>
      <c r="C140" s="12">
        <v>45594</v>
      </c>
      <c r="D140" s="2" t="s">
        <v>20</v>
      </c>
      <c r="E140" s="2" t="s">
        <v>21</v>
      </c>
      <c r="F140" s="15">
        <v>2746</v>
      </c>
      <c r="G140" s="15">
        <v>156</v>
      </c>
      <c r="H140" s="15">
        <v>203</v>
      </c>
      <c r="I140" s="15">
        <f t="shared" si="6"/>
        <v>3105</v>
      </c>
      <c r="J140" s="17">
        <f t="shared" si="7"/>
        <v>9.422796795338674E-2</v>
      </c>
      <c r="K140" s="15">
        <v>32952</v>
      </c>
      <c r="L140" s="15">
        <v>32147</v>
      </c>
      <c r="M140" s="15">
        <v>147</v>
      </c>
      <c r="N140" s="2" t="s">
        <v>22</v>
      </c>
      <c r="O140" s="2" t="s">
        <v>45</v>
      </c>
      <c r="P140" s="2" t="s">
        <v>23</v>
      </c>
      <c r="Q140" s="20">
        <v>19119</v>
      </c>
      <c r="R140">
        <v>1426</v>
      </c>
      <c r="S140" s="38">
        <f t="shared" si="8"/>
        <v>0.16240389141691511</v>
      </c>
      <c r="V140" s="39"/>
    </row>
    <row r="141" spans="1:28" ht="14.25" customHeight="1" x14ac:dyDescent="0.3">
      <c r="A141" s="2" t="s">
        <v>177</v>
      </c>
      <c r="B141" s="2" t="s">
        <v>33</v>
      </c>
      <c r="C141" s="12">
        <v>45488</v>
      </c>
      <c r="D141" s="2" t="s">
        <v>39</v>
      </c>
      <c r="E141" s="2" t="s">
        <v>40</v>
      </c>
      <c r="F141" s="15">
        <v>2291</v>
      </c>
      <c r="G141" s="15">
        <v>78</v>
      </c>
      <c r="H141" s="15">
        <v>485</v>
      </c>
      <c r="I141" s="15">
        <f t="shared" si="6"/>
        <v>2854</v>
      </c>
      <c r="J141" s="17">
        <f t="shared" si="7"/>
        <v>0.15571802706241816</v>
      </c>
      <c r="K141" s="15">
        <v>18328</v>
      </c>
      <c r="L141" s="15">
        <v>18101</v>
      </c>
      <c r="M141" s="15">
        <v>10</v>
      </c>
      <c r="N141" s="2" t="s">
        <v>54</v>
      </c>
      <c r="O141" s="2"/>
      <c r="P141" s="2" t="s">
        <v>18</v>
      </c>
      <c r="Q141" s="20">
        <v>43999</v>
      </c>
      <c r="R141">
        <v>1225</v>
      </c>
      <c r="S141" s="38">
        <f t="shared" si="8"/>
        <v>6.4865110570694787E-2</v>
      </c>
      <c r="V141" s="39"/>
    </row>
    <row r="142" spans="1:28" ht="14.25" customHeight="1" x14ac:dyDescent="0.3">
      <c r="A142" s="2" t="s">
        <v>178</v>
      </c>
      <c r="B142" s="2" t="s">
        <v>14</v>
      </c>
      <c r="C142" s="12">
        <v>45535</v>
      </c>
      <c r="D142" s="2" t="s">
        <v>39</v>
      </c>
      <c r="E142" s="2" t="s">
        <v>40</v>
      </c>
      <c r="F142" s="15">
        <v>3170</v>
      </c>
      <c r="G142" s="15">
        <v>857</v>
      </c>
      <c r="H142" s="15">
        <v>379</v>
      </c>
      <c r="I142" s="15">
        <f t="shared" si="6"/>
        <v>4406</v>
      </c>
      <c r="J142" s="17">
        <f t="shared" si="7"/>
        <v>0.2316508937960042</v>
      </c>
      <c r="K142" s="15">
        <v>19020</v>
      </c>
      <c r="L142" s="15">
        <v>18559</v>
      </c>
      <c r="M142" s="15">
        <v>240</v>
      </c>
      <c r="N142" s="2" t="s">
        <v>17</v>
      </c>
      <c r="O142" s="2"/>
      <c r="P142" s="2" t="s">
        <v>31</v>
      </c>
      <c r="Q142" s="20">
        <v>10825</v>
      </c>
      <c r="R142">
        <v>1080</v>
      </c>
      <c r="S142" s="38">
        <f t="shared" si="8"/>
        <v>0.40702078521939955</v>
      </c>
      <c r="V142" s="39"/>
      <c r="W142" s="18" t="s">
        <v>360</v>
      </c>
      <c r="X142" t="s">
        <v>363</v>
      </c>
    </row>
    <row r="143" spans="1:28" ht="14.25" customHeight="1" x14ac:dyDescent="0.3">
      <c r="A143" s="2" t="s">
        <v>179</v>
      </c>
      <c r="B143" s="2" t="s">
        <v>25</v>
      </c>
      <c r="C143" s="12">
        <v>45741</v>
      </c>
      <c r="D143" s="2" t="s">
        <v>28</v>
      </c>
      <c r="E143" s="2" t="s">
        <v>29</v>
      </c>
      <c r="F143" s="15">
        <v>2070</v>
      </c>
      <c r="G143" s="15">
        <v>275</v>
      </c>
      <c r="H143" s="15">
        <v>386</v>
      </c>
      <c r="I143" s="15">
        <f t="shared" si="6"/>
        <v>2731</v>
      </c>
      <c r="J143" s="17">
        <f t="shared" si="7"/>
        <v>6.9438087973557078E-2</v>
      </c>
      <c r="K143" s="15">
        <v>39330</v>
      </c>
      <c r="L143" s="15">
        <v>38627</v>
      </c>
      <c r="M143" s="15">
        <v>114</v>
      </c>
      <c r="N143" s="2" t="s">
        <v>17</v>
      </c>
      <c r="O143" s="2"/>
      <c r="P143" s="2" t="s">
        <v>43</v>
      </c>
      <c r="Q143" s="20">
        <v>40323</v>
      </c>
      <c r="R143">
        <v>748</v>
      </c>
      <c r="S143" s="38">
        <f t="shared" si="8"/>
        <v>6.7728095627805476E-2</v>
      </c>
      <c r="V143" s="39"/>
      <c r="W143" s="19" t="s">
        <v>23</v>
      </c>
      <c r="X143">
        <v>41475</v>
      </c>
    </row>
    <row r="144" spans="1:28" ht="14.25" customHeight="1" x14ac:dyDescent="0.3">
      <c r="A144" s="2" t="s">
        <v>180</v>
      </c>
      <c r="B144" s="2" t="s">
        <v>25</v>
      </c>
      <c r="C144" s="12">
        <v>45567</v>
      </c>
      <c r="D144" s="2" t="s">
        <v>34</v>
      </c>
      <c r="E144" s="2" t="s">
        <v>35</v>
      </c>
      <c r="F144" s="15">
        <v>80</v>
      </c>
      <c r="G144" s="15">
        <v>362</v>
      </c>
      <c r="H144" s="15">
        <v>80</v>
      </c>
      <c r="I144" s="15">
        <f t="shared" si="6"/>
        <v>522</v>
      </c>
      <c r="J144" s="17">
        <f t="shared" si="7"/>
        <v>0.50192307692307692</v>
      </c>
      <c r="K144" s="15">
        <v>1040</v>
      </c>
      <c r="L144" s="15">
        <v>349</v>
      </c>
      <c r="M144" s="15">
        <v>117</v>
      </c>
      <c r="N144" s="2" t="s">
        <v>22</v>
      </c>
      <c r="O144" s="2" t="s">
        <v>45</v>
      </c>
      <c r="P144" s="2" t="s">
        <v>23</v>
      </c>
      <c r="Q144" s="20">
        <v>48270</v>
      </c>
      <c r="R144">
        <v>569</v>
      </c>
      <c r="S144" s="38">
        <f t="shared" si="8"/>
        <v>1.0814170292106899E-2</v>
      </c>
      <c r="V144" s="39"/>
      <c r="W144" s="19" t="s">
        <v>18</v>
      </c>
      <c r="X144">
        <v>39746</v>
      </c>
    </row>
    <row r="145" spans="1:24" ht="14.25" customHeight="1" x14ac:dyDescent="0.3">
      <c r="A145" s="2" t="s">
        <v>181</v>
      </c>
      <c r="B145" s="2" t="s">
        <v>25</v>
      </c>
      <c r="C145" s="12">
        <v>45593</v>
      </c>
      <c r="D145" s="2" t="s">
        <v>28</v>
      </c>
      <c r="E145" s="2" t="s">
        <v>29</v>
      </c>
      <c r="F145" s="15">
        <v>4929</v>
      </c>
      <c r="G145" s="15">
        <v>749</v>
      </c>
      <c r="H145" s="15">
        <v>452</v>
      </c>
      <c r="I145" s="15">
        <f t="shared" si="6"/>
        <v>6130</v>
      </c>
      <c r="J145" s="17">
        <f t="shared" si="7"/>
        <v>6.5455787978772245E-2</v>
      </c>
      <c r="K145" s="15">
        <v>93651</v>
      </c>
      <c r="L145" s="15">
        <v>92810</v>
      </c>
      <c r="M145" s="15">
        <v>66</v>
      </c>
      <c r="N145" s="2" t="s">
        <v>36</v>
      </c>
      <c r="O145" s="2" t="s">
        <v>45</v>
      </c>
      <c r="P145" s="2" t="s">
        <v>18</v>
      </c>
      <c r="Q145" s="20">
        <v>18001</v>
      </c>
      <c r="R145">
        <v>-203</v>
      </c>
      <c r="S145" s="38">
        <f t="shared" si="8"/>
        <v>0.34053663685350816</v>
      </c>
      <c r="V145" s="39"/>
      <c r="W145" s="19" t="s">
        <v>31</v>
      </c>
      <c r="X145">
        <v>42662</v>
      </c>
    </row>
    <row r="146" spans="1:24" ht="14.25" customHeight="1" x14ac:dyDescent="0.3">
      <c r="A146" s="2" t="s">
        <v>182</v>
      </c>
      <c r="B146" s="2" t="s">
        <v>27</v>
      </c>
      <c r="C146" s="12">
        <v>45516</v>
      </c>
      <c r="D146" s="2" t="s">
        <v>34</v>
      </c>
      <c r="E146" s="2" t="s">
        <v>35</v>
      </c>
      <c r="F146" s="15">
        <v>1878</v>
      </c>
      <c r="G146" s="15">
        <v>62</v>
      </c>
      <c r="H146" s="15">
        <v>179</v>
      </c>
      <c r="I146" s="15">
        <f t="shared" si="6"/>
        <v>2119</v>
      </c>
      <c r="J146" s="17">
        <f t="shared" si="7"/>
        <v>5.6416400425985093E-2</v>
      </c>
      <c r="K146" s="15">
        <v>37560</v>
      </c>
      <c r="L146" s="15">
        <v>36874</v>
      </c>
      <c r="M146" s="15">
        <v>142</v>
      </c>
      <c r="N146" s="2" t="s">
        <v>54</v>
      </c>
      <c r="O146" s="2" t="s">
        <v>36</v>
      </c>
      <c r="P146" s="2" t="s">
        <v>18</v>
      </c>
      <c r="Q146" s="20">
        <v>3314</v>
      </c>
      <c r="R146">
        <v>1723</v>
      </c>
      <c r="S146" s="38">
        <f t="shared" si="8"/>
        <v>0.63940856970428483</v>
      </c>
      <c r="V146" s="39"/>
      <c r="W146" s="19" t="s">
        <v>43</v>
      </c>
      <c r="X146">
        <v>36222</v>
      </c>
    </row>
    <row r="147" spans="1:24" ht="14.25" customHeight="1" x14ac:dyDescent="0.3">
      <c r="A147" s="2" t="s">
        <v>183</v>
      </c>
      <c r="B147" s="2" t="s">
        <v>25</v>
      </c>
      <c r="C147" s="12">
        <v>45448</v>
      </c>
      <c r="D147" s="2" t="s">
        <v>15</v>
      </c>
      <c r="E147" s="2" t="s">
        <v>16</v>
      </c>
      <c r="F147" s="15">
        <v>3065</v>
      </c>
      <c r="G147" s="15">
        <v>772</v>
      </c>
      <c r="H147" s="15">
        <v>142</v>
      </c>
      <c r="I147" s="15">
        <f t="shared" si="6"/>
        <v>3979</v>
      </c>
      <c r="J147" s="17">
        <f t="shared" si="7"/>
        <v>0.21636759108210984</v>
      </c>
      <c r="K147" s="15">
        <v>18390</v>
      </c>
      <c r="L147" s="15">
        <v>17875</v>
      </c>
      <c r="M147" s="15">
        <v>200</v>
      </c>
      <c r="N147" s="2" t="s">
        <v>45</v>
      </c>
      <c r="O147" s="2"/>
      <c r="P147" s="2" t="s">
        <v>18</v>
      </c>
      <c r="Q147" s="20">
        <v>23489</v>
      </c>
      <c r="R147">
        <v>912</v>
      </c>
      <c r="S147" s="38">
        <f t="shared" si="8"/>
        <v>0.16939844182383243</v>
      </c>
      <c r="V147" s="39"/>
      <c r="W147" s="19" t="s">
        <v>361</v>
      </c>
      <c r="X147">
        <v>160105</v>
      </c>
    </row>
    <row r="148" spans="1:24" ht="14.25" customHeight="1" x14ac:dyDescent="0.3">
      <c r="A148" s="2" t="s">
        <v>184</v>
      </c>
      <c r="B148" s="2" t="s">
        <v>27</v>
      </c>
      <c r="C148" s="12">
        <v>45586</v>
      </c>
      <c r="D148" s="2" t="s">
        <v>15</v>
      </c>
      <c r="E148" s="2" t="s">
        <v>16</v>
      </c>
      <c r="F148" s="15">
        <v>3256</v>
      </c>
      <c r="G148" s="15">
        <v>459</v>
      </c>
      <c r="H148" s="15">
        <v>266</v>
      </c>
      <c r="I148" s="15">
        <f t="shared" si="6"/>
        <v>3981</v>
      </c>
      <c r="J148" s="17">
        <f t="shared" si="7"/>
        <v>0.15283323095823095</v>
      </c>
      <c r="K148" s="15">
        <v>26048</v>
      </c>
      <c r="L148" s="15">
        <v>25529</v>
      </c>
      <c r="M148" s="15">
        <v>143</v>
      </c>
      <c r="N148" s="2" t="s">
        <v>17</v>
      </c>
      <c r="O148" s="2" t="s">
        <v>45</v>
      </c>
      <c r="P148" s="2" t="s">
        <v>31</v>
      </c>
      <c r="Q148" s="20">
        <v>42832</v>
      </c>
      <c r="R148">
        <v>1202</v>
      </c>
      <c r="S148" s="38">
        <f t="shared" si="8"/>
        <v>9.2944527456107581E-2</v>
      </c>
      <c r="V148" s="39"/>
    </row>
    <row r="149" spans="1:24" ht="14.25" customHeight="1" x14ac:dyDescent="0.3">
      <c r="A149" s="2" t="s">
        <v>185</v>
      </c>
      <c r="B149" s="2" t="s">
        <v>27</v>
      </c>
      <c r="C149" s="12">
        <v>45762</v>
      </c>
      <c r="D149" s="2" t="s">
        <v>50</v>
      </c>
      <c r="E149" s="2" t="s">
        <v>51</v>
      </c>
      <c r="F149" s="15">
        <v>4133</v>
      </c>
      <c r="G149" s="15">
        <v>466</v>
      </c>
      <c r="H149" s="15">
        <v>327</v>
      </c>
      <c r="I149" s="15">
        <f t="shared" si="6"/>
        <v>4926</v>
      </c>
      <c r="J149" s="17">
        <f t="shared" si="7"/>
        <v>0.19864505202032423</v>
      </c>
      <c r="K149" s="15">
        <v>24798</v>
      </c>
      <c r="L149" s="15">
        <v>24620</v>
      </c>
      <c r="M149" s="15">
        <v>176</v>
      </c>
      <c r="N149" s="2" t="s">
        <v>45</v>
      </c>
      <c r="O149" s="2"/>
      <c r="P149" s="2" t="s">
        <v>23</v>
      </c>
      <c r="Q149" s="20">
        <v>24494</v>
      </c>
      <c r="R149">
        <v>1444</v>
      </c>
      <c r="S149" s="38">
        <f t="shared" si="8"/>
        <v>0.20111047603494733</v>
      </c>
      <c r="V149" s="39"/>
    </row>
    <row r="150" spans="1:24" ht="14.25" customHeight="1" x14ac:dyDescent="0.3">
      <c r="A150" s="2" t="s">
        <v>186</v>
      </c>
      <c r="B150" s="2" t="s">
        <v>14</v>
      </c>
      <c r="C150" s="12">
        <v>45459</v>
      </c>
      <c r="D150" s="2" t="s">
        <v>50</v>
      </c>
      <c r="E150" s="2" t="s">
        <v>51</v>
      </c>
      <c r="F150" s="15">
        <v>1702</v>
      </c>
      <c r="G150" s="15">
        <v>750</v>
      </c>
      <c r="H150" s="15">
        <v>179</v>
      </c>
      <c r="I150" s="15">
        <f t="shared" si="6"/>
        <v>2631</v>
      </c>
      <c r="J150" s="17">
        <f t="shared" si="7"/>
        <v>7.7291421856639245E-2</v>
      </c>
      <c r="K150" s="15">
        <v>34040</v>
      </c>
      <c r="L150" s="15">
        <v>33174</v>
      </c>
      <c r="M150" s="15">
        <v>76</v>
      </c>
      <c r="N150" s="2" t="s">
        <v>36</v>
      </c>
      <c r="O150" s="2"/>
      <c r="P150" s="2" t="s">
        <v>31</v>
      </c>
      <c r="Q150" s="20">
        <v>44097</v>
      </c>
      <c r="R150">
        <v>965</v>
      </c>
      <c r="S150" s="38">
        <f t="shared" si="8"/>
        <v>5.9663922715831007E-2</v>
      </c>
      <c r="V150" s="39"/>
    </row>
    <row r="151" spans="1:24" ht="14.25" customHeight="1" x14ac:dyDescent="0.3">
      <c r="A151" s="2" t="s">
        <v>187</v>
      </c>
      <c r="B151" s="2" t="s">
        <v>25</v>
      </c>
      <c r="C151" s="12">
        <v>45526</v>
      </c>
      <c r="D151" s="2" t="s">
        <v>34</v>
      </c>
      <c r="E151" s="2" t="s">
        <v>35</v>
      </c>
      <c r="F151" s="15">
        <v>4295</v>
      </c>
      <c r="G151" s="15">
        <v>853</v>
      </c>
      <c r="H151" s="15">
        <v>325</v>
      </c>
      <c r="I151" s="15">
        <f t="shared" si="6"/>
        <v>5473</v>
      </c>
      <c r="J151" s="17">
        <f t="shared" si="7"/>
        <v>6.3713620488940623E-2</v>
      </c>
      <c r="K151" s="15">
        <v>85900</v>
      </c>
      <c r="L151" s="15">
        <v>85788</v>
      </c>
      <c r="M151" s="15">
        <v>290</v>
      </c>
      <c r="N151" s="2" t="s">
        <v>36</v>
      </c>
      <c r="O151" s="2" t="s">
        <v>17</v>
      </c>
      <c r="P151" s="2" t="s">
        <v>23</v>
      </c>
      <c r="Q151" s="20">
        <v>31853</v>
      </c>
      <c r="R151">
        <v>1590</v>
      </c>
      <c r="S151" s="38">
        <f t="shared" si="8"/>
        <v>0.17182055065456942</v>
      </c>
      <c r="V151" s="39"/>
    </row>
    <row r="152" spans="1:24" ht="14.25" customHeight="1" x14ac:dyDescent="0.3">
      <c r="A152" s="2" t="s">
        <v>188</v>
      </c>
      <c r="B152" s="2" t="s">
        <v>27</v>
      </c>
      <c r="C152" s="12">
        <v>45499</v>
      </c>
      <c r="D152" s="2" t="s">
        <v>39</v>
      </c>
      <c r="E152" s="2" t="s">
        <v>40</v>
      </c>
      <c r="F152" s="15">
        <v>3559</v>
      </c>
      <c r="G152" s="15">
        <v>59</v>
      </c>
      <c r="H152" s="15">
        <v>289</v>
      </c>
      <c r="I152" s="15">
        <f t="shared" si="6"/>
        <v>3907</v>
      </c>
      <c r="J152" s="17">
        <f t="shared" si="7"/>
        <v>0.10977802753582468</v>
      </c>
      <c r="K152" s="15">
        <v>35590</v>
      </c>
      <c r="L152" s="15">
        <v>35105</v>
      </c>
      <c r="M152" s="15">
        <v>122</v>
      </c>
      <c r="N152" s="2" t="s">
        <v>36</v>
      </c>
      <c r="O152" s="2" t="s">
        <v>45</v>
      </c>
      <c r="P152" s="2" t="s">
        <v>31</v>
      </c>
      <c r="Q152" s="20">
        <v>37636</v>
      </c>
      <c r="R152">
        <v>-37</v>
      </c>
      <c r="S152" s="38">
        <f t="shared" si="8"/>
        <v>0.10381018174088638</v>
      </c>
      <c r="V152" s="39"/>
    </row>
    <row r="153" spans="1:24" ht="14.25" customHeight="1" x14ac:dyDescent="0.3">
      <c r="A153" s="2" t="s">
        <v>189</v>
      </c>
      <c r="B153" s="2" t="s">
        <v>33</v>
      </c>
      <c r="C153" s="12">
        <v>45769</v>
      </c>
      <c r="D153" s="2" t="s">
        <v>39</v>
      </c>
      <c r="E153" s="2" t="s">
        <v>40</v>
      </c>
      <c r="F153" s="15">
        <v>4804</v>
      </c>
      <c r="G153" s="15">
        <v>550</v>
      </c>
      <c r="H153" s="15">
        <v>270</v>
      </c>
      <c r="I153" s="15">
        <f t="shared" si="6"/>
        <v>5624</v>
      </c>
      <c r="J153" s="17">
        <f t="shared" si="7"/>
        <v>0.19511518179295032</v>
      </c>
      <c r="K153" s="15">
        <v>28824</v>
      </c>
      <c r="L153" s="15">
        <v>28370</v>
      </c>
      <c r="M153" s="15">
        <v>47</v>
      </c>
      <c r="N153" s="2" t="s">
        <v>17</v>
      </c>
      <c r="O153" s="2" t="s">
        <v>45</v>
      </c>
      <c r="P153" s="2" t="s">
        <v>43</v>
      </c>
      <c r="Q153" s="20">
        <v>22996</v>
      </c>
      <c r="R153">
        <v>1175</v>
      </c>
      <c r="S153" s="38">
        <f t="shared" si="8"/>
        <v>0.24456427204731257</v>
      </c>
      <c r="V153" s="39"/>
    </row>
    <row r="154" spans="1:24" ht="14.25" customHeight="1" x14ac:dyDescent="0.3">
      <c r="A154" s="2" t="s">
        <v>190</v>
      </c>
      <c r="B154" s="2" t="s">
        <v>14</v>
      </c>
      <c r="C154" s="12">
        <v>45658</v>
      </c>
      <c r="D154" s="2" t="s">
        <v>50</v>
      </c>
      <c r="E154" s="2" t="s">
        <v>51</v>
      </c>
      <c r="F154" s="15">
        <v>754</v>
      </c>
      <c r="G154" s="15">
        <v>197</v>
      </c>
      <c r="H154" s="15">
        <v>257</v>
      </c>
      <c r="I154" s="15">
        <f t="shared" si="6"/>
        <v>1208</v>
      </c>
      <c r="J154" s="17">
        <f t="shared" si="7"/>
        <v>0.17801355732390214</v>
      </c>
      <c r="K154" s="15">
        <v>6786</v>
      </c>
      <c r="L154" s="15">
        <v>6221</v>
      </c>
      <c r="M154" s="15">
        <v>212</v>
      </c>
      <c r="N154" s="2" t="s">
        <v>54</v>
      </c>
      <c r="O154" s="2" t="s">
        <v>36</v>
      </c>
      <c r="P154" s="2" t="s">
        <v>31</v>
      </c>
      <c r="Q154" s="20">
        <v>49772</v>
      </c>
      <c r="R154">
        <v>1375</v>
      </c>
      <c r="S154" s="38">
        <f t="shared" si="8"/>
        <v>2.4270674274692598E-2</v>
      </c>
      <c r="V154" s="39"/>
    </row>
    <row r="155" spans="1:24" ht="14.25" customHeight="1" x14ac:dyDescent="0.3">
      <c r="A155" s="2" t="s">
        <v>191</v>
      </c>
      <c r="B155" s="2" t="s">
        <v>27</v>
      </c>
      <c r="C155" s="12">
        <v>45574</v>
      </c>
      <c r="D155" s="2" t="s">
        <v>34</v>
      </c>
      <c r="E155" s="2" t="s">
        <v>35</v>
      </c>
      <c r="F155" s="15">
        <v>985</v>
      </c>
      <c r="G155" s="15">
        <v>932</v>
      </c>
      <c r="H155" s="15">
        <v>287</v>
      </c>
      <c r="I155" s="15">
        <f t="shared" si="6"/>
        <v>2204</v>
      </c>
      <c r="J155" s="17">
        <f t="shared" si="7"/>
        <v>0.31965192168237855</v>
      </c>
      <c r="K155" s="15">
        <v>6895</v>
      </c>
      <c r="L155" s="15">
        <v>6757</v>
      </c>
      <c r="M155" s="15">
        <v>64</v>
      </c>
      <c r="N155" s="2" t="s">
        <v>17</v>
      </c>
      <c r="O155" s="2" t="s">
        <v>22</v>
      </c>
      <c r="P155" s="2" t="s">
        <v>23</v>
      </c>
      <c r="Q155" s="20">
        <v>22713</v>
      </c>
      <c r="R155">
        <v>1707</v>
      </c>
      <c r="S155" s="38">
        <f t="shared" si="8"/>
        <v>9.7036939197816224E-2</v>
      </c>
      <c r="V155" s="39"/>
    </row>
    <row r="156" spans="1:24" ht="14.25" customHeight="1" x14ac:dyDescent="0.3">
      <c r="A156" s="2" t="s">
        <v>192</v>
      </c>
      <c r="B156" s="2" t="s">
        <v>25</v>
      </c>
      <c r="C156" s="12">
        <v>45647</v>
      </c>
      <c r="D156" s="2" t="s">
        <v>39</v>
      </c>
      <c r="E156" s="2" t="s">
        <v>40</v>
      </c>
      <c r="F156" s="15">
        <v>2283</v>
      </c>
      <c r="G156" s="15">
        <v>210</v>
      </c>
      <c r="H156" s="15">
        <v>130</v>
      </c>
      <c r="I156" s="15">
        <f t="shared" si="6"/>
        <v>2623</v>
      </c>
      <c r="J156" s="17">
        <f t="shared" si="7"/>
        <v>0.11489268506351293</v>
      </c>
      <c r="K156" s="15">
        <v>22830</v>
      </c>
      <c r="L156" s="15">
        <v>22617</v>
      </c>
      <c r="M156" s="15">
        <v>143</v>
      </c>
      <c r="N156" s="2" t="s">
        <v>22</v>
      </c>
      <c r="O156" s="2" t="s">
        <v>45</v>
      </c>
      <c r="P156" s="2" t="s">
        <v>31</v>
      </c>
      <c r="Q156" s="20">
        <v>8718</v>
      </c>
      <c r="R156">
        <v>708</v>
      </c>
      <c r="S156" s="38">
        <f t="shared" si="8"/>
        <v>0.30087175957788481</v>
      </c>
      <c r="V156" s="39"/>
    </row>
    <row r="157" spans="1:24" ht="14.25" customHeight="1" x14ac:dyDescent="0.3">
      <c r="A157" s="2" t="s">
        <v>193</v>
      </c>
      <c r="B157" s="2" t="s">
        <v>33</v>
      </c>
      <c r="C157" s="12">
        <v>45587</v>
      </c>
      <c r="D157" s="2" t="s">
        <v>34</v>
      </c>
      <c r="E157" s="2" t="s">
        <v>35</v>
      </c>
      <c r="F157" s="15">
        <v>3352</v>
      </c>
      <c r="G157" s="15">
        <v>941</v>
      </c>
      <c r="H157" s="15">
        <v>482</v>
      </c>
      <c r="I157" s="15">
        <f t="shared" si="6"/>
        <v>4775</v>
      </c>
      <c r="J157" s="17">
        <f t="shared" si="7"/>
        <v>0.1095786671562328</v>
      </c>
      <c r="K157" s="15">
        <v>43576</v>
      </c>
      <c r="L157" s="15">
        <v>43338</v>
      </c>
      <c r="M157" s="15">
        <v>240</v>
      </c>
      <c r="N157" s="2" t="s">
        <v>36</v>
      </c>
      <c r="O157" s="2"/>
      <c r="P157" s="2" t="s">
        <v>31</v>
      </c>
      <c r="Q157" s="20">
        <v>39031</v>
      </c>
      <c r="R157">
        <v>1016</v>
      </c>
      <c r="S157" s="38">
        <f t="shared" si="8"/>
        <v>0.12233865389049729</v>
      </c>
      <c r="V157" s="39"/>
    </row>
    <row r="158" spans="1:24" ht="14.25" customHeight="1" x14ac:dyDescent="0.3">
      <c r="A158" s="2" t="s">
        <v>194</v>
      </c>
      <c r="B158" s="2" t="s">
        <v>25</v>
      </c>
      <c r="C158" s="12">
        <v>45496</v>
      </c>
      <c r="D158" s="2" t="s">
        <v>28</v>
      </c>
      <c r="E158" s="2" t="s">
        <v>29</v>
      </c>
      <c r="F158" s="15">
        <v>4775</v>
      </c>
      <c r="G158" s="15">
        <v>173</v>
      </c>
      <c r="H158" s="15">
        <v>206</v>
      </c>
      <c r="I158" s="15">
        <f t="shared" si="6"/>
        <v>5154</v>
      </c>
      <c r="J158" s="17">
        <f t="shared" si="7"/>
        <v>0.10793717277486911</v>
      </c>
      <c r="K158" s="15">
        <v>47750</v>
      </c>
      <c r="L158" s="15">
        <v>47544</v>
      </c>
      <c r="M158" s="15">
        <v>187</v>
      </c>
      <c r="N158" s="2" t="s">
        <v>45</v>
      </c>
      <c r="O158" s="2" t="s">
        <v>36</v>
      </c>
      <c r="P158" s="2" t="s">
        <v>43</v>
      </c>
      <c r="Q158" s="20">
        <v>33799</v>
      </c>
      <c r="R158">
        <v>1315</v>
      </c>
      <c r="S158" s="38">
        <f t="shared" si="8"/>
        <v>0.15248971863072872</v>
      </c>
      <c r="V158" s="39"/>
    </row>
    <row r="159" spans="1:24" ht="14.25" customHeight="1" x14ac:dyDescent="0.3">
      <c r="A159" s="2" t="s">
        <v>195</v>
      </c>
      <c r="B159" s="2" t="s">
        <v>27</v>
      </c>
      <c r="C159" s="12">
        <v>45515</v>
      </c>
      <c r="D159" s="2" t="s">
        <v>28</v>
      </c>
      <c r="E159" s="2" t="s">
        <v>29</v>
      </c>
      <c r="F159" s="15">
        <v>1762</v>
      </c>
      <c r="G159" s="15">
        <v>405</v>
      </c>
      <c r="H159" s="15">
        <v>423</v>
      </c>
      <c r="I159" s="15">
        <f t="shared" si="6"/>
        <v>2590</v>
      </c>
      <c r="J159" s="17">
        <f t="shared" si="7"/>
        <v>0.11307081114118571</v>
      </c>
      <c r="K159" s="15">
        <v>22906</v>
      </c>
      <c r="L159" s="15">
        <v>21925</v>
      </c>
      <c r="M159" s="15">
        <v>25</v>
      </c>
      <c r="N159" s="2" t="s">
        <v>54</v>
      </c>
      <c r="O159" s="2"/>
      <c r="P159" s="2" t="s">
        <v>23</v>
      </c>
      <c r="Q159" s="20">
        <v>20553</v>
      </c>
      <c r="R159">
        <v>-119</v>
      </c>
      <c r="S159" s="38">
        <f t="shared" si="8"/>
        <v>0.12601566681263077</v>
      </c>
      <c r="V159" s="39"/>
    </row>
    <row r="160" spans="1:24" ht="14.25" customHeight="1" x14ac:dyDescent="0.3">
      <c r="A160" s="2" t="s">
        <v>196</v>
      </c>
      <c r="B160" s="2" t="s">
        <v>33</v>
      </c>
      <c r="C160" s="12">
        <v>45621</v>
      </c>
      <c r="D160" s="2" t="s">
        <v>28</v>
      </c>
      <c r="E160" s="2" t="s">
        <v>29</v>
      </c>
      <c r="F160" s="15">
        <v>2120</v>
      </c>
      <c r="G160" s="15">
        <v>158</v>
      </c>
      <c r="H160" s="15">
        <v>488</v>
      </c>
      <c r="I160" s="15">
        <f t="shared" si="6"/>
        <v>2766</v>
      </c>
      <c r="J160" s="17">
        <f t="shared" si="7"/>
        <v>0.21745283018867925</v>
      </c>
      <c r="K160" s="15">
        <v>12720</v>
      </c>
      <c r="L160" s="15">
        <v>12085</v>
      </c>
      <c r="M160" s="15">
        <v>17</v>
      </c>
      <c r="N160" s="2" t="s">
        <v>45</v>
      </c>
      <c r="O160" s="2" t="s">
        <v>36</v>
      </c>
      <c r="P160" s="2" t="s">
        <v>23</v>
      </c>
      <c r="Q160" s="20">
        <v>10002</v>
      </c>
      <c r="R160">
        <v>899</v>
      </c>
      <c r="S160" s="38">
        <f t="shared" si="8"/>
        <v>0.27654469106178764</v>
      </c>
      <c r="V160" s="39"/>
    </row>
    <row r="161" spans="1:22" ht="14.25" customHeight="1" x14ac:dyDescent="0.3">
      <c r="A161" s="2" t="s">
        <v>197</v>
      </c>
      <c r="B161" s="2" t="s">
        <v>14</v>
      </c>
      <c r="C161" s="12">
        <v>45528</v>
      </c>
      <c r="D161" s="2" t="s">
        <v>50</v>
      </c>
      <c r="E161" s="2" t="s">
        <v>51</v>
      </c>
      <c r="F161" s="15">
        <v>1082</v>
      </c>
      <c r="G161" s="15">
        <v>209</v>
      </c>
      <c r="H161" s="15">
        <v>484</v>
      </c>
      <c r="I161" s="15">
        <f t="shared" si="6"/>
        <v>1775</v>
      </c>
      <c r="J161" s="17">
        <f t="shared" si="7"/>
        <v>9.1137810638734856E-2</v>
      </c>
      <c r="K161" s="15">
        <v>19476</v>
      </c>
      <c r="L161" s="15">
        <v>18654</v>
      </c>
      <c r="M161" s="15">
        <v>20</v>
      </c>
      <c r="N161" s="2" t="s">
        <v>45</v>
      </c>
      <c r="O161" s="2"/>
      <c r="P161" s="2" t="s">
        <v>43</v>
      </c>
      <c r="Q161" s="20">
        <v>30987</v>
      </c>
      <c r="R161">
        <v>315</v>
      </c>
      <c r="S161" s="38">
        <f t="shared" si="8"/>
        <v>5.7282086036079649E-2</v>
      </c>
      <c r="V161" s="39"/>
    </row>
    <row r="162" spans="1:22" ht="14.25" customHeight="1" x14ac:dyDescent="0.3">
      <c r="A162" s="2" t="s">
        <v>198</v>
      </c>
      <c r="B162" s="2" t="s">
        <v>14</v>
      </c>
      <c r="C162" s="12">
        <v>45707</v>
      </c>
      <c r="D162" s="2" t="s">
        <v>20</v>
      </c>
      <c r="E162" s="2" t="s">
        <v>21</v>
      </c>
      <c r="F162" s="15">
        <v>4671</v>
      </c>
      <c r="G162" s="15">
        <v>876</v>
      </c>
      <c r="H162" s="15">
        <v>366</v>
      </c>
      <c r="I162" s="15">
        <f t="shared" si="6"/>
        <v>5913</v>
      </c>
      <c r="J162" s="17">
        <f t="shared" si="7"/>
        <v>0.11508145034156594</v>
      </c>
      <c r="K162" s="15">
        <v>51381</v>
      </c>
      <c r="L162" s="15">
        <v>50565</v>
      </c>
      <c r="M162" s="15">
        <v>245</v>
      </c>
      <c r="N162" s="2" t="s">
        <v>17</v>
      </c>
      <c r="O162" s="2"/>
      <c r="P162" s="2" t="s">
        <v>23</v>
      </c>
      <c r="Q162" s="20">
        <v>6296</v>
      </c>
      <c r="R162">
        <v>212</v>
      </c>
      <c r="S162" s="38">
        <f t="shared" si="8"/>
        <v>0.93916772554002537</v>
      </c>
      <c r="V162" s="39"/>
    </row>
    <row r="163" spans="1:22" ht="14.25" customHeight="1" x14ac:dyDescent="0.3">
      <c r="A163" s="2" t="s">
        <v>199</v>
      </c>
      <c r="B163" s="2" t="s">
        <v>33</v>
      </c>
      <c r="C163" s="12">
        <v>45748</v>
      </c>
      <c r="D163" s="2" t="s">
        <v>28</v>
      </c>
      <c r="E163" s="2" t="s">
        <v>29</v>
      </c>
      <c r="F163" s="15">
        <v>3430</v>
      </c>
      <c r="G163" s="15">
        <v>566</v>
      </c>
      <c r="H163" s="15">
        <v>164</v>
      </c>
      <c r="I163" s="15">
        <f t="shared" si="6"/>
        <v>4160</v>
      </c>
      <c r="J163" s="17">
        <f t="shared" si="7"/>
        <v>8.6630570595585168E-2</v>
      </c>
      <c r="K163" s="15">
        <v>48020</v>
      </c>
      <c r="L163" s="15">
        <v>47305</v>
      </c>
      <c r="M163" s="15">
        <v>120</v>
      </c>
      <c r="N163" s="2" t="s">
        <v>36</v>
      </c>
      <c r="O163" s="2"/>
      <c r="P163" s="2" t="s">
        <v>23</v>
      </c>
      <c r="Q163" s="20">
        <v>21539</v>
      </c>
      <c r="R163">
        <v>908</v>
      </c>
      <c r="S163" s="38">
        <f t="shared" si="8"/>
        <v>0.19313802869213983</v>
      </c>
      <c r="V163" s="39"/>
    </row>
    <row r="164" spans="1:22" ht="14.25" customHeight="1" x14ac:dyDescent="0.3">
      <c r="A164" s="2" t="s">
        <v>200</v>
      </c>
      <c r="B164" s="2" t="s">
        <v>27</v>
      </c>
      <c r="C164" s="12">
        <v>45755</v>
      </c>
      <c r="D164" s="2" t="s">
        <v>39</v>
      </c>
      <c r="E164" s="2" t="s">
        <v>40</v>
      </c>
      <c r="F164" s="15">
        <v>4501</v>
      </c>
      <c r="G164" s="15">
        <v>375</v>
      </c>
      <c r="H164" s="15">
        <v>323</v>
      </c>
      <c r="I164" s="15">
        <f t="shared" si="6"/>
        <v>5199</v>
      </c>
      <c r="J164" s="17">
        <f t="shared" si="7"/>
        <v>0.23101532992668297</v>
      </c>
      <c r="K164" s="15">
        <v>22505</v>
      </c>
      <c r="L164" s="15">
        <v>21836</v>
      </c>
      <c r="M164" s="15">
        <v>132</v>
      </c>
      <c r="N164" s="2" t="s">
        <v>22</v>
      </c>
      <c r="O164" s="2"/>
      <c r="P164" s="2" t="s">
        <v>43</v>
      </c>
      <c r="Q164" s="20">
        <v>14722</v>
      </c>
      <c r="R164">
        <v>1350</v>
      </c>
      <c r="S164" s="38">
        <f t="shared" si="8"/>
        <v>0.35314495313136801</v>
      </c>
      <c r="V164" s="39"/>
    </row>
    <row r="165" spans="1:22" ht="14.25" customHeight="1" x14ac:dyDescent="0.3">
      <c r="A165" s="2" t="s">
        <v>201</v>
      </c>
      <c r="B165" s="2" t="s">
        <v>25</v>
      </c>
      <c r="C165" s="12">
        <v>45715</v>
      </c>
      <c r="D165" s="2" t="s">
        <v>20</v>
      </c>
      <c r="E165" s="2" t="s">
        <v>21</v>
      </c>
      <c r="F165" s="15">
        <v>4934</v>
      </c>
      <c r="G165" s="15">
        <v>971</v>
      </c>
      <c r="H165" s="15">
        <v>156</v>
      </c>
      <c r="I165" s="15">
        <f t="shared" si="6"/>
        <v>6061</v>
      </c>
      <c r="J165" s="17">
        <f t="shared" si="7"/>
        <v>0.15355188488042157</v>
      </c>
      <c r="K165" s="15">
        <v>39472</v>
      </c>
      <c r="L165" s="15">
        <v>39025</v>
      </c>
      <c r="M165" s="15">
        <v>169</v>
      </c>
      <c r="N165" s="2" t="s">
        <v>54</v>
      </c>
      <c r="O165" s="2" t="s">
        <v>45</v>
      </c>
      <c r="P165" s="2" t="s">
        <v>23</v>
      </c>
      <c r="Q165" s="20">
        <v>11383</v>
      </c>
      <c r="R165">
        <v>1242</v>
      </c>
      <c r="S165" s="38">
        <f t="shared" si="8"/>
        <v>0.5324606869893701</v>
      </c>
      <c r="V165" s="39"/>
    </row>
    <row r="166" spans="1:22" ht="14.25" customHeight="1" x14ac:dyDescent="0.3">
      <c r="A166" s="2" t="s">
        <v>202</v>
      </c>
      <c r="B166" s="2" t="s">
        <v>14</v>
      </c>
      <c r="C166" s="12">
        <v>45637</v>
      </c>
      <c r="D166" s="2" t="s">
        <v>20</v>
      </c>
      <c r="E166" s="2" t="s">
        <v>21</v>
      </c>
      <c r="F166" s="15">
        <v>3239</v>
      </c>
      <c r="G166" s="15">
        <v>43</v>
      </c>
      <c r="H166" s="15">
        <v>211</v>
      </c>
      <c r="I166" s="15">
        <f t="shared" si="6"/>
        <v>3493</v>
      </c>
      <c r="J166" s="17">
        <f t="shared" si="7"/>
        <v>0.15405989502933004</v>
      </c>
      <c r="K166" s="15">
        <v>22673</v>
      </c>
      <c r="L166" s="15">
        <v>22171</v>
      </c>
      <c r="M166" s="15">
        <v>230</v>
      </c>
      <c r="N166" s="2" t="s">
        <v>36</v>
      </c>
      <c r="O166" s="2" t="s">
        <v>45</v>
      </c>
      <c r="P166" s="2" t="s">
        <v>23</v>
      </c>
      <c r="Q166" s="20">
        <v>9480</v>
      </c>
      <c r="R166">
        <v>680</v>
      </c>
      <c r="S166" s="38">
        <f t="shared" si="8"/>
        <v>0.36845991561181435</v>
      </c>
      <c r="V166" s="39"/>
    </row>
    <row r="167" spans="1:22" ht="14.25" customHeight="1" x14ac:dyDescent="0.3">
      <c r="A167" s="2" t="s">
        <v>203</v>
      </c>
      <c r="B167" s="2" t="s">
        <v>14</v>
      </c>
      <c r="C167" s="12">
        <v>45704</v>
      </c>
      <c r="D167" s="2" t="s">
        <v>15</v>
      </c>
      <c r="E167" s="2" t="s">
        <v>16</v>
      </c>
      <c r="F167" s="15">
        <v>1076</v>
      </c>
      <c r="G167" s="15">
        <v>313</v>
      </c>
      <c r="H167" s="15">
        <v>306</v>
      </c>
      <c r="I167" s="15">
        <f t="shared" si="6"/>
        <v>1695</v>
      </c>
      <c r="J167" s="17">
        <f t="shared" si="7"/>
        <v>0.14320716458262928</v>
      </c>
      <c r="K167" s="15">
        <v>11836</v>
      </c>
      <c r="L167" s="15">
        <v>11596</v>
      </c>
      <c r="M167" s="15">
        <v>104</v>
      </c>
      <c r="N167" s="2" t="s">
        <v>54</v>
      </c>
      <c r="O167" s="2"/>
      <c r="P167" s="2" t="s">
        <v>23</v>
      </c>
      <c r="Q167" s="20">
        <v>29116</v>
      </c>
      <c r="R167">
        <v>1116</v>
      </c>
      <c r="S167" s="38">
        <f t="shared" si="8"/>
        <v>5.8215414205247971E-2</v>
      </c>
      <c r="V167" s="39"/>
    </row>
    <row r="168" spans="1:22" ht="14.25" customHeight="1" x14ac:dyDescent="0.3">
      <c r="A168" s="2" t="s">
        <v>204</v>
      </c>
      <c r="B168" s="2" t="s">
        <v>27</v>
      </c>
      <c r="C168" s="12">
        <v>45624</v>
      </c>
      <c r="D168" s="2" t="s">
        <v>20</v>
      </c>
      <c r="E168" s="2" t="s">
        <v>21</v>
      </c>
      <c r="F168" s="15">
        <v>4771</v>
      </c>
      <c r="G168" s="15">
        <v>818</v>
      </c>
      <c r="H168" s="15">
        <v>56</v>
      </c>
      <c r="I168" s="15">
        <f t="shared" si="6"/>
        <v>5645</v>
      </c>
      <c r="J168" s="17">
        <f t="shared" si="7"/>
        <v>9.859917557465242E-2</v>
      </c>
      <c r="K168" s="15">
        <v>57252</v>
      </c>
      <c r="L168" s="15">
        <v>56378</v>
      </c>
      <c r="M168" s="15">
        <v>150</v>
      </c>
      <c r="N168" s="2" t="s">
        <v>17</v>
      </c>
      <c r="O168" s="2"/>
      <c r="P168" s="2" t="s">
        <v>23</v>
      </c>
      <c r="Q168" s="20">
        <v>14068</v>
      </c>
      <c r="R168">
        <v>861</v>
      </c>
      <c r="S168" s="38">
        <f t="shared" si="8"/>
        <v>0.40126528291157237</v>
      </c>
      <c r="V168" s="39"/>
    </row>
    <row r="169" spans="1:22" ht="14.25" customHeight="1" x14ac:dyDescent="0.3">
      <c r="A169" s="2" t="s">
        <v>205</v>
      </c>
      <c r="B169" s="2" t="s">
        <v>33</v>
      </c>
      <c r="C169" s="12">
        <v>45608</v>
      </c>
      <c r="D169" s="2" t="s">
        <v>20</v>
      </c>
      <c r="E169" s="2" t="s">
        <v>21</v>
      </c>
      <c r="F169" s="15">
        <v>2418</v>
      </c>
      <c r="G169" s="15">
        <v>754</v>
      </c>
      <c r="H169" s="15">
        <v>54</v>
      </c>
      <c r="I169" s="15">
        <f t="shared" si="6"/>
        <v>3226</v>
      </c>
      <c r="J169" s="17">
        <f t="shared" si="7"/>
        <v>7.412002573292896E-2</v>
      </c>
      <c r="K169" s="15">
        <v>43524</v>
      </c>
      <c r="L169" s="15">
        <v>42743</v>
      </c>
      <c r="M169" s="15">
        <v>182</v>
      </c>
      <c r="N169" s="2" t="s">
        <v>22</v>
      </c>
      <c r="O169" s="2" t="s">
        <v>36</v>
      </c>
      <c r="P169" s="2" t="s">
        <v>43</v>
      </c>
      <c r="Q169" s="20">
        <v>35801</v>
      </c>
      <c r="R169">
        <v>1385</v>
      </c>
      <c r="S169" s="38">
        <f t="shared" si="8"/>
        <v>9.0109214826401496E-2</v>
      </c>
      <c r="V169" s="39"/>
    </row>
    <row r="170" spans="1:22" ht="14.25" customHeight="1" x14ac:dyDescent="0.3">
      <c r="A170" s="2" t="s">
        <v>206</v>
      </c>
      <c r="B170" s="2" t="s">
        <v>25</v>
      </c>
      <c r="C170" s="12">
        <v>45629</v>
      </c>
      <c r="D170" s="2" t="s">
        <v>50</v>
      </c>
      <c r="E170" s="2" t="s">
        <v>51</v>
      </c>
      <c r="F170" s="15">
        <v>3809</v>
      </c>
      <c r="G170" s="15">
        <v>273</v>
      </c>
      <c r="H170" s="15">
        <v>200</v>
      </c>
      <c r="I170" s="15">
        <f t="shared" si="6"/>
        <v>4282</v>
      </c>
      <c r="J170" s="17">
        <f t="shared" si="7"/>
        <v>0.12490884163239112</v>
      </c>
      <c r="K170" s="15">
        <v>34281</v>
      </c>
      <c r="L170" s="15">
        <v>33534</v>
      </c>
      <c r="M170" s="15">
        <v>83</v>
      </c>
      <c r="N170" s="2" t="s">
        <v>36</v>
      </c>
      <c r="O170" s="2"/>
      <c r="P170" s="2" t="s">
        <v>31</v>
      </c>
      <c r="Q170" s="20">
        <v>49077</v>
      </c>
      <c r="R170">
        <v>461</v>
      </c>
      <c r="S170" s="38">
        <f t="shared" si="8"/>
        <v>8.7250646942559656E-2</v>
      </c>
      <c r="V170" s="39"/>
    </row>
    <row r="171" spans="1:22" ht="14.25" customHeight="1" x14ac:dyDescent="0.3">
      <c r="A171" s="2" t="s">
        <v>207</v>
      </c>
      <c r="B171" s="2" t="s">
        <v>14</v>
      </c>
      <c r="C171" s="12">
        <v>45775</v>
      </c>
      <c r="D171" s="2" t="s">
        <v>20</v>
      </c>
      <c r="E171" s="2" t="s">
        <v>21</v>
      </c>
      <c r="F171" s="15">
        <v>3577</v>
      </c>
      <c r="G171" s="15">
        <v>596</v>
      </c>
      <c r="H171" s="15">
        <v>493</v>
      </c>
      <c r="I171" s="15">
        <f t="shared" si="6"/>
        <v>4666</v>
      </c>
      <c r="J171" s="17">
        <f t="shared" si="7"/>
        <v>6.8655003457763777E-2</v>
      </c>
      <c r="K171" s="15">
        <v>67963</v>
      </c>
      <c r="L171" s="15">
        <v>67839</v>
      </c>
      <c r="M171" s="15">
        <v>53</v>
      </c>
      <c r="N171" s="2" t="s">
        <v>45</v>
      </c>
      <c r="O171" s="2" t="s">
        <v>36</v>
      </c>
      <c r="P171" s="2" t="s">
        <v>43</v>
      </c>
      <c r="Q171" s="20">
        <v>21453</v>
      </c>
      <c r="R171">
        <v>474</v>
      </c>
      <c r="S171" s="38">
        <f t="shared" si="8"/>
        <v>0.21749871812800076</v>
      </c>
      <c r="V171" s="39"/>
    </row>
    <row r="172" spans="1:22" ht="14.25" customHeight="1" x14ac:dyDescent="0.3">
      <c r="A172" s="2" t="s">
        <v>208</v>
      </c>
      <c r="B172" s="2" t="s">
        <v>25</v>
      </c>
      <c r="C172" s="12">
        <v>45657</v>
      </c>
      <c r="D172" s="2" t="s">
        <v>50</v>
      </c>
      <c r="E172" s="2" t="s">
        <v>51</v>
      </c>
      <c r="F172" s="15">
        <v>1018</v>
      </c>
      <c r="G172" s="15">
        <v>447</v>
      </c>
      <c r="H172" s="15">
        <v>332</v>
      </c>
      <c r="I172" s="15">
        <f t="shared" si="6"/>
        <v>1797</v>
      </c>
      <c r="J172" s="17">
        <f t="shared" si="7"/>
        <v>9.8068107400130972E-2</v>
      </c>
      <c r="K172" s="15">
        <v>18324</v>
      </c>
      <c r="L172" s="15">
        <v>18164</v>
      </c>
      <c r="M172" s="15">
        <v>38</v>
      </c>
      <c r="N172" s="2" t="s">
        <v>17</v>
      </c>
      <c r="O172" s="2" t="s">
        <v>22</v>
      </c>
      <c r="P172" s="2" t="s">
        <v>43</v>
      </c>
      <c r="Q172" s="20">
        <v>21061</v>
      </c>
      <c r="R172">
        <v>292</v>
      </c>
      <c r="S172" s="38">
        <f t="shared" si="8"/>
        <v>8.5323583875409531E-2</v>
      </c>
      <c r="V172" s="39"/>
    </row>
    <row r="173" spans="1:22" ht="14.25" customHeight="1" x14ac:dyDescent="0.3">
      <c r="A173" s="2" t="s">
        <v>209</v>
      </c>
      <c r="B173" s="2" t="s">
        <v>33</v>
      </c>
      <c r="C173" s="12">
        <v>45518</v>
      </c>
      <c r="D173" s="2" t="s">
        <v>34</v>
      </c>
      <c r="E173" s="2" t="s">
        <v>35</v>
      </c>
      <c r="F173" s="15">
        <v>3073</v>
      </c>
      <c r="G173" s="15">
        <v>553</v>
      </c>
      <c r="H173" s="15">
        <v>174</v>
      </c>
      <c r="I173" s="15">
        <f t="shared" si="6"/>
        <v>3800</v>
      </c>
      <c r="J173" s="17">
        <f t="shared" si="7"/>
        <v>7.2739802071170159E-2</v>
      </c>
      <c r="K173" s="15">
        <v>52241</v>
      </c>
      <c r="L173" s="15">
        <v>51605</v>
      </c>
      <c r="M173" s="15">
        <v>246</v>
      </c>
      <c r="N173" s="2" t="s">
        <v>22</v>
      </c>
      <c r="O173" s="2" t="s">
        <v>45</v>
      </c>
      <c r="P173" s="2" t="s">
        <v>43</v>
      </c>
      <c r="Q173" s="20">
        <v>20059</v>
      </c>
      <c r="R173">
        <v>389</v>
      </c>
      <c r="S173" s="38">
        <f t="shared" si="8"/>
        <v>0.18944114861159581</v>
      </c>
      <c r="V173" s="39"/>
    </row>
    <row r="174" spans="1:22" ht="14.25" customHeight="1" x14ac:dyDescent="0.3">
      <c r="A174" s="2" t="s">
        <v>210</v>
      </c>
      <c r="B174" s="2" t="s">
        <v>14</v>
      </c>
      <c r="C174" s="12">
        <v>45631</v>
      </c>
      <c r="D174" s="2" t="s">
        <v>50</v>
      </c>
      <c r="E174" s="2" t="s">
        <v>51</v>
      </c>
      <c r="F174" s="15">
        <v>1330</v>
      </c>
      <c r="G174" s="15">
        <v>925</v>
      </c>
      <c r="H174" s="15">
        <v>35</v>
      </c>
      <c r="I174" s="15">
        <f t="shared" si="6"/>
        <v>2290</v>
      </c>
      <c r="J174" s="17">
        <f t="shared" si="7"/>
        <v>0.14348370927318296</v>
      </c>
      <c r="K174" s="15">
        <v>15960</v>
      </c>
      <c r="L174" s="15">
        <v>15379</v>
      </c>
      <c r="M174" s="15">
        <v>229</v>
      </c>
      <c r="N174" s="2" t="s">
        <v>54</v>
      </c>
      <c r="O174" s="2" t="s">
        <v>36</v>
      </c>
      <c r="P174" s="2" t="s">
        <v>43</v>
      </c>
      <c r="Q174" s="20">
        <v>23140</v>
      </c>
      <c r="R174">
        <v>641</v>
      </c>
      <c r="S174" s="38">
        <f t="shared" si="8"/>
        <v>9.8962834917891096E-2</v>
      </c>
      <c r="V174" s="39"/>
    </row>
    <row r="175" spans="1:22" ht="14.25" customHeight="1" x14ac:dyDescent="0.3">
      <c r="A175" s="2" t="s">
        <v>211</v>
      </c>
      <c r="B175" s="2" t="s">
        <v>33</v>
      </c>
      <c r="C175" s="12">
        <v>45465</v>
      </c>
      <c r="D175" s="2" t="s">
        <v>20</v>
      </c>
      <c r="E175" s="2" t="s">
        <v>21</v>
      </c>
      <c r="F175" s="15">
        <v>3828</v>
      </c>
      <c r="G175" s="15">
        <v>148</v>
      </c>
      <c r="H175" s="15">
        <v>253</v>
      </c>
      <c r="I175" s="15">
        <f t="shared" si="6"/>
        <v>4229</v>
      </c>
      <c r="J175" s="17">
        <f t="shared" si="7"/>
        <v>0.13809430512016718</v>
      </c>
      <c r="K175" s="15">
        <v>30624</v>
      </c>
      <c r="L175" s="15">
        <v>30229</v>
      </c>
      <c r="M175" s="15">
        <v>235</v>
      </c>
      <c r="N175" s="2" t="s">
        <v>17</v>
      </c>
      <c r="O175" s="2" t="s">
        <v>45</v>
      </c>
      <c r="P175" s="2" t="s">
        <v>43</v>
      </c>
      <c r="Q175" s="20">
        <v>23461</v>
      </c>
      <c r="R175">
        <v>514</v>
      </c>
      <c r="S175" s="38">
        <f t="shared" si="8"/>
        <v>0.18025659605302416</v>
      </c>
      <c r="V175" s="39"/>
    </row>
    <row r="176" spans="1:22" ht="14.25" customHeight="1" x14ac:dyDescent="0.3">
      <c r="A176" s="2" t="s">
        <v>212</v>
      </c>
      <c r="B176" s="2" t="s">
        <v>27</v>
      </c>
      <c r="C176" s="12">
        <v>45674</v>
      </c>
      <c r="D176" s="2" t="s">
        <v>15</v>
      </c>
      <c r="E176" s="2" t="s">
        <v>16</v>
      </c>
      <c r="F176" s="15">
        <v>142</v>
      </c>
      <c r="G176" s="15">
        <v>784</v>
      </c>
      <c r="H176" s="15">
        <v>183</v>
      </c>
      <c r="I176" s="15">
        <f t="shared" si="6"/>
        <v>1109</v>
      </c>
      <c r="J176" s="17">
        <f t="shared" si="7"/>
        <v>0.6508215962441315</v>
      </c>
      <c r="K176" s="15">
        <v>1704</v>
      </c>
      <c r="L176" s="15">
        <v>995</v>
      </c>
      <c r="M176" s="15">
        <v>154</v>
      </c>
      <c r="N176" s="2" t="s">
        <v>17</v>
      </c>
      <c r="O176" s="2"/>
      <c r="P176" s="2" t="s">
        <v>18</v>
      </c>
      <c r="Q176" s="20">
        <v>11805</v>
      </c>
      <c r="R176">
        <v>1676</v>
      </c>
      <c r="S176" s="38">
        <f t="shared" si="8"/>
        <v>9.3943244387971192E-2</v>
      </c>
      <c r="V176" s="39"/>
    </row>
    <row r="177" spans="1:22" ht="14.25" customHeight="1" x14ac:dyDescent="0.3">
      <c r="A177" s="2" t="s">
        <v>213</v>
      </c>
      <c r="B177" s="2" t="s">
        <v>33</v>
      </c>
      <c r="C177" s="12">
        <v>45463</v>
      </c>
      <c r="D177" s="2" t="s">
        <v>50</v>
      </c>
      <c r="E177" s="2" t="s">
        <v>51</v>
      </c>
      <c r="F177" s="15">
        <v>3798</v>
      </c>
      <c r="G177" s="15">
        <v>31</v>
      </c>
      <c r="H177" s="15">
        <v>279</v>
      </c>
      <c r="I177" s="15">
        <f t="shared" si="6"/>
        <v>4108</v>
      </c>
      <c r="J177" s="17">
        <f t="shared" si="7"/>
        <v>5.4081095313322801E-2</v>
      </c>
      <c r="K177" s="15">
        <v>75960</v>
      </c>
      <c r="L177" s="15">
        <v>75813</v>
      </c>
      <c r="M177" s="15">
        <v>266</v>
      </c>
      <c r="N177" s="2" t="s">
        <v>22</v>
      </c>
      <c r="O177" s="2"/>
      <c r="P177" s="2" t="s">
        <v>23</v>
      </c>
      <c r="Q177" s="20">
        <v>15969</v>
      </c>
      <c r="R177">
        <v>1467</v>
      </c>
      <c r="S177" s="38">
        <f t="shared" si="8"/>
        <v>0.25724841881144717</v>
      </c>
      <c r="V177" s="39"/>
    </row>
    <row r="178" spans="1:22" ht="14.25" customHeight="1" x14ac:dyDescent="0.3">
      <c r="A178" s="2" t="s">
        <v>214</v>
      </c>
      <c r="B178" s="2" t="s">
        <v>27</v>
      </c>
      <c r="C178" s="12">
        <v>45483</v>
      </c>
      <c r="D178" s="2" t="s">
        <v>34</v>
      </c>
      <c r="E178" s="2" t="s">
        <v>35</v>
      </c>
      <c r="F178" s="15">
        <v>3099</v>
      </c>
      <c r="G178" s="15">
        <v>694</v>
      </c>
      <c r="H178" s="15">
        <v>171</v>
      </c>
      <c r="I178" s="15">
        <f t="shared" si="6"/>
        <v>3964</v>
      </c>
      <c r="J178" s="17">
        <f t="shared" si="7"/>
        <v>9.1365878393951966E-2</v>
      </c>
      <c r="K178" s="15">
        <v>43386</v>
      </c>
      <c r="L178" s="15">
        <v>42921</v>
      </c>
      <c r="M178" s="15">
        <v>52</v>
      </c>
      <c r="N178" s="2" t="s">
        <v>54</v>
      </c>
      <c r="O178" s="2"/>
      <c r="P178" s="2" t="s">
        <v>43</v>
      </c>
      <c r="Q178" s="20">
        <v>2436</v>
      </c>
      <c r="R178">
        <v>167</v>
      </c>
      <c r="S178" s="38">
        <f t="shared" si="8"/>
        <v>1.6272577996715927</v>
      </c>
      <c r="V178" s="39"/>
    </row>
    <row r="179" spans="1:22" ht="14.25" customHeight="1" x14ac:dyDescent="0.3">
      <c r="A179" s="2" t="s">
        <v>215</v>
      </c>
      <c r="B179" s="2" t="s">
        <v>27</v>
      </c>
      <c r="C179" s="12">
        <v>45603</v>
      </c>
      <c r="D179" s="2" t="s">
        <v>50</v>
      </c>
      <c r="E179" s="2" t="s">
        <v>51</v>
      </c>
      <c r="F179" s="15">
        <v>129</v>
      </c>
      <c r="G179" s="15">
        <v>643</v>
      </c>
      <c r="H179" s="15">
        <v>136</v>
      </c>
      <c r="I179" s="15">
        <f t="shared" si="6"/>
        <v>908</v>
      </c>
      <c r="J179" s="17">
        <f t="shared" si="7"/>
        <v>0.70387596899224802</v>
      </c>
      <c r="K179" s="15">
        <v>1290</v>
      </c>
      <c r="L179" s="15">
        <v>839</v>
      </c>
      <c r="M179" s="15">
        <v>238</v>
      </c>
      <c r="N179" s="2" t="s">
        <v>45</v>
      </c>
      <c r="O179" s="2" t="s">
        <v>54</v>
      </c>
      <c r="P179" s="2" t="s">
        <v>43</v>
      </c>
      <c r="Q179" s="20">
        <v>47603</v>
      </c>
      <c r="R179">
        <v>1029</v>
      </c>
      <c r="S179" s="38">
        <f t="shared" si="8"/>
        <v>1.9074428082263725E-2</v>
      </c>
      <c r="V179" s="39"/>
    </row>
    <row r="180" spans="1:22" ht="14.25" customHeight="1" x14ac:dyDescent="0.3">
      <c r="A180" s="2" t="s">
        <v>216</v>
      </c>
      <c r="B180" s="2" t="s">
        <v>33</v>
      </c>
      <c r="C180" s="12">
        <v>45488</v>
      </c>
      <c r="D180" s="2" t="s">
        <v>34</v>
      </c>
      <c r="E180" s="2" t="s">
        <v>35</v>
      </c>
      <c r="F180" s="15">
        <v>3796</v>
      </c>
      <c r="G180" s="15">
        <v>667</v>
      </c>
      <c r="H180" s="15">
        <v>395</v>
      </c>
      <c r="I180" s="15">
        <f t="shared" si="6"/>
        <v>4858</v>
      </c>
      <c r="J180" s="17">
        <f t="shared" si="7"/>
        <v>7.5280481001673588E-2</v>
      </c>
      <c r="K180" s="15">
        <v>64532</v>
      </c>
      <c r="L180" s="15">
        <v>63550</v>
      </c>
      <c r="M180" s="15">
        <v>292</v>
      </c>
      <c r="N180" s="2" t="s">
        <v>45</v>
      </c>
      <c r="O180" s="2"/>
      <c r="P180" s="2" t="s">
        <v>18</v>
      </c>
      <c r="Q180" s="20">
        <v>42964</v>
      </c>
      <c r="R180">
        <v>1007</v>
      </c>
      <c r="S180" s="38">
        <f t="shared" si="8"/>
        <v>0.11307140862117121</v>
      </c>
      <c r="V180" s="39"/>
    </row>
    <row r="181" spans="1:22" ht="14.25" customHeight="1" x14ac:dyDescent="0.3">
      <c r="A181" s="2" t="s">
        <v>217</v>
      </c>
      <c r="B181" s="2" t="s">
        <v>25</v>
      </c>
      <c r="C181" s="12">
        <v>45629</v>
      </c>
      <c r="D181" s="2" t="s">
        <v>20</v>
      </c>
      <c r="E181" s="2" t="s">
        <v>21</v>
      </c>
      <c r="F181" s="15">
        <v>3711</v>
      </c>
      <c r="G181" s="15">
        <v>352</v>
      </c>
      <c r="H181" s="15">
        <v>290</v>
      </c>
      <c r="I181" s="15">
        <f t="shared" si="6"/>
        <v>4353</v>
      </c>
      <c r="J181" s="17">
        <f t="shared" si="7"/>
        <v>9.023070704558174E-2</v>
      </c>
      <c r="K181" s="15">
        <v>48243</v>
      </c>
      <c r="L181" s="15">
        <v>47579</v>
      </c>
      <c r="M181" s="15">
        <v>11</v>
      </c>
      <c r="N181" s="2" t="s">
        <v>45</v>
      </c>
      <c r="O181" s="2" t="s">
        <v>54</v>
      </c>
      <c r="P181" s="2" t="s">
        <v>43</v>
      </c>
      <c r="Q181" s="20">
        <v>39923</v>
      </c>
      <c r="R181">
        <v>209</v>
      </c>
      <c r="S181" s="38">
        <f t="shared" si="8"/>
        <v>0.10903489216742229</v>
      </c>
      <c r="V181" s="39"/>
    </row>
    <row r="182" spans="1:22" ht="14.25" customHeight="1" x14ac:dyDescent="0.3">
      <c r="A182" s="2" t="s">
        <v>218</v>
      </c>
      <c r="B182" s="2" t="s">
        <v>25</v>
      </c>
      <c r="C182" s="12">
        <v>45737</v>
      </c>
      <c r="D182" s="2" t="s">
        <v>39</v>
      </c>
      <c r="E182" s="2" t="s">
        <v>40</v>
      </c>
      <c r="F182" s="15">
        <v>606</v>
      </c>
      <c r="G182" s="15">
        <v>789</v>
      </c>
      <c r="H182" s="15">
        <v>470</v>
      </c>
      <c r="I182" s="15">
        <f t="shared" si="6"/>
        <v>1865</v>
      </c>
      <c r="J182" s="17">
        <f t="shared" si="7"/>
        <v>0.23673521198273673</v>
      </c>
      <c r="K182" s="15">
        <v>7878</v>
      </c>
      <c r="L182" s="15">
        <v>7389</v>
      </c>
      <c r="M182" s="15">
        <v>239</v>
      </c>
      <c r="N182" s="2" t="s">
        <v>17</v>
      </c>
      <c r="O182" s="2"/>
      <c r="P182" s="2" t="s">
        <v>23</v>
      </c>
      <c r="Q182" s="20">
        <v>2293</v>
      </c>
      <c r="R182">
        <v>-160</v>
      </c>
      <c r="S182" s="38">
        <f t="shared" si="8"/>
        <v>0.8133449629306585</v>
      </c>
      <c r="V182" s="39"/>
    </row>
    <row r="183" spans="1:22" ht="14.25" customHeight="1" x14ac:dyDescent="0.3">
      <c r="A183" s="2" t="s">
        <v>219</v>
      </c>
      <c r="B183" s="2" t="s">
        <v>33</v>
      </c>
      <c r="C183" s="12">
        <v>45504</v>
      </c>
      <c r="D183" s="2" t="s">
        <v>39</v>
      </c>
      <c r="E183" s="2" t="s">
        <v>40</v>
      </c>
      <c r="F183" s="15">
        <v>4689</v>
      </c>
      <c r="G183" s="15">
        <v>134</v>
      </c>
      <c r="H183" s="15">
        <v>403</v>
      </c>
      <c r="I183" s="15">
        <f t="shared" si="6"/>
        <v>5226</v>
      </c>
      <c r="J183" s="17">
        <f t="shared" si="7"/>
        <v>0.10132030477519921</v>
      </c>
      <c r="K183" s="15">
        <v>51579</v>
      </c>
      <c r="L183" s="15">
        <v>50924</v>
      </c>
      <c r="M183" s="15">
        <v>173</v>
      </c>
      <c r="N183" s="2" t="s">
        <v>54</v>
      </c>
      <c r="O183" s="2"/>
      <c r="P183" s="2" t="s">
        <v>18</v>
      </c>
      <c r="Q183" s="20">
        <v>25920</v>
      </c>
      <c r="R183">
        <v>-175</v>
      </c>
      <c r="S183" s="38">
        <f t="shared" si="8"/>
        <v>0.20162037037037037</v>
      </c>
      <c r="V183" s="39"/>
    </row>
    <row r="184" spans="1:22" ht="14.25" customHeight="1" x14ac:dyDescent="0.3">
      <c r="A184" s="2" t="s">
        <v>220</v>
      </c>
      <c r="B184" s="2" t="s">
        <v>27</v>
      </c>
      <c r="C184" s="12">
        <v>45643</v>
      </c>
      <c r="D184" s="2" t="s">
        <v>28</v>
      </c>
      <c r="E184" s="2" t="s">
        <v>29</v>
      </c>
      <c r="F184" s="15">
        <v>360</v>
      </c>
      <c r="G184" s="15">
        <v>590</v>
      </c>
      <c r="H184" s="15">
        <v>393</v>
      </c>
      <c r="I184" s="15">
        <f t="shared" si="6"/>
        <v>1343</v>
      </c>
      <c r="J184" s="17">
        <f t="shared" si="7"/>
        <v>0.28696581196581195</v>
      </c>
      <c r="K184" s="15">
        <v>4680</v>
      </c>
      <c r="L184" s="15">
        <v>4322</v>
      </c>
      <c r="M184" s="15">
        <v>208</v>
      </c>
      <c r="N184" s="2" t="s">
        <v>45</v>
      </c>
      <c r="O184" s="2" t="s">
        <v>54</v>
      </c>
      <c r="P184" s="2" t="s">
        <v>23</v>
      </c>
      <c r="Q184" s="20">
        <v>11035</v>
      </c>
      <c r="R184">
        <v>53</v>
      </c>
      <c r="S184" s="38">
        <f t="shared" si="8"/>
        <v>0.12170367014046217</v>
      </c>
      <c r="V184" s="39"/>
    </row>
    <row r="185" spans="1:22" ht="14.25" customHeight="1" x14ac:dyDescent="0.3">
      <c r="A185" s="2" t="s">
        <v>221</v>
      </c>
      <c r="B185" s="2" t="s">
        <v>14</v>
      </c>
      <c r="C185" s="12">
        <v>45501</v>
      </c>
      <c r="D185" s="2" t="s">
        <v>39</v>
      </c>
      <c r="E185" s="2" t="s">
        <v>40</v>
      </c>
      <c r="F185" s="15">
        <v>3215</v>
      </c>
      <c r="G185" s="15">
        <v>960</v>
      </c>
      <c r="H185" s="15">
        <v>202</v>
      </c>
      <c r="I185" s="15">
        <f t="shared" si="6"/>
        <v>4377</v>
      </c>
      <c r="J185" s="17">
        <f t="shared" si="7"/>
        <v>0.13614307931570763</v>
      </c>
      <c r="K185" s="15">
        <v>32150</v>
      </c>
      <c r="L185" s="15">
        <v>31404</v>
      </c>
      <c r="M185" s="15">
        <v>251</v>
      </c>
      <c r="N185" s="2" t="s">
        <v>45</v>
      </c>
      <c r="O185" s="2"/>
      <c r="P185" s="2" t="s">
        <v>31</v>
      </c>
      <c r="Q185" s="20">
        <v>20733</v>
      </c>
      <c r="R185">
        <v>145</v>
      </c>
      <c r="S185" s="38">
        <f t="shared" si="8"/>
        <v>0.21111271885400087</v>
      </c>
      <c r="V185" s="39"/>
    </row>
    <row r="186" spans="1:22" ht="14.25" customHeight="1" x14ac:dyDescent="0.3">
      <c r="A186" s="2" t="s">
        <v>222</v>
      </c>
      <c r="B186" s="2" t="s">
        <v>27</v>
      </c>
      <c r="C186" s="12">
        <v>45668</v>
      </c>
      <c r="D186" s="2" t="s">
        <v>34</v>
      </c>
      <c r="E186" s="2" t="s">
        <v>35</v>
      </c>
      <c r="F186" s="15">
        <v>4523</v>
      </c>
      <c r="G186" s="15">
        <v>61</v>
      </c>
      <c r="H186" s="15">
        <v>157</v>
      </c>
      <c r="I186" s="15">
        <f t="shared" si="6"/>
        <v>4741</v>
      </c>
      <c r="J186" s="17">
        <f t="shared" si="7"/>
        <v>9.5290736237010829E-2</v>
      </c>
      <c r="K186" s="15">
        <v>49753</v>
      </c>
      <c r="L186" s="15">
        <v>49329</v>
      </c>
      <c r="M186" s="15">
        <v>71</v>
      </c>
      <c r="N186" s="2" t="s">
        <v>17</v>
      </c>
      <c r="O186" s="2" t="s">
        <v>36</v>
      </c>
      <c r="P186" s="2" t="s">
        <v>43</v>
      </c>
      <c r="Q186" s="20">
        <v>18693</v>
      </c>
      <c r="R186">
        <v>603</v>
      </c>
      <c r="S186" s="38">
        <f t="shared" si="8"/>
        <v>0.25362435136147221</v>
      </c>
      <c r="V186" s="39"/>
    </row>
    <row r="187" spans="1:22" ht="14.25" customHeight="1" x14ac:dyDescent="0.3">
      <c r="A187" s="2" t="s">
        <v>223</v>
      </c>
      <c r="B187" s="2" t="s">
        <v>33</v>
      </c>
      <c r="C187" s="12">
        <v>45528</v>
      </c>
      <c r="D187" s="2" t="s">
        <v>34</v>
      </c>
      <c r="E187" s="2" t="s">
        <v>35</v>
      </c>
      <c r="F187" s="15">
        <v>4292</v>
      </c>
      <c r="G187" s="15">
        <v>51</v>
      </c>
      <c r="H187" s="15">
        <v>392</v>
      </c>
      <c r="I187" s="15">
        <f t="shared" si="6"/>
        <v>4735</v>
      </c>
      <c r="J187" s="17">
        <f t="shared" si="7"/>
        <v>8.4862714173059003E-2</v>
      </c>
      <c r="K187" s="15">
        <v>55796</v>
      </c>
      <c r="L187" s="15">
        <v>54826</v>
      </c>
      <c r="M187" s="15">
        <v>264</v>
      </c>
      <c r="N187" s="2" t="s">
        <v>36</v>
      </c>
      <c r="O187" s="2" t="s">
        <v>45</v>
      </c>
      <c r="P187" s="2" t="s">
        <v>18</v>
      </c>
      <c r="Q187" s="20">
        <v>7875</v>
      </c>
      <c r="R187">
        <v>1045</v>
      </c>
      <c r="S187" s="38">
        <f t="shared" si="8"/>
        <v>0.60126984126984129</v>
      </c>
      <c r="V187" s="39"/>
    </row>
    <row r="188" spans="1:22" ht="14.25" customHeight="1" x14ac:dyDescent="0.3">
      <c r="A188" s="2" t="s">
        <v>224</v>
      </c>
      <c r="B188" s="2" t="s">
        <v>14</v>
      </c>
      <c r="C188" s="12">
        <v>45648</v>
      </c>
      <c r="D188" s="2" t="s">
        <v>15</v>
      </c>
      <c r="E188" s="2" t="s">
        <v>16</v>
      </c>
      <c r="F188" s="15">
        <v>1644</v>
      </c>
      <c r="G188" s="15">
        <v>546</v>
      </c>
      <c r="H188" s="15">
        <v>150</v>
      </c>
      <c r="I188" s="15">
        <f t="shared" si="6"/>
        <v>2340</v>
      </c>
      <c r="J188" s="17">
        <f t="shared" si="7"/>
        <v>8.3726921425504502E-2</v>
      </c>
      <c r="K188" s="15">
        <v>27948</v>
      </c>
      <c r="L188" s="15">
        <v>27184</v>
      </c>
      <c r="M188" s="15">
        <v>300</v>
      </c>
      <c r="N188" s="2" t="s">
        <v>17</v>
      </c>
      <c r="O188" s="2" t="s">
        <v>36</v>
      </c>
      <c r="P188" s="2" t="s">
        <v>18</v>
      </c>
      <c r="Q188" s="20">
        <v>8471</v>
      </c>
      <c r="R188">
        <v>759</v>
      </c>
      <c r="S188" s="38">
        <f t="shared" si="8"/>
        <v>0.27623657183331368</v>
      </c>
      <c r="V188" s="39"/>
    </row>
    <row r="189" spans="1:22" ht="14.25" customHeight="1" x14ac:dyDescent="0.3">
      <c r="A189" s="2" t="s">
        <v>225</v>
      </c>
      <c r="B189" s="2" t="s">
        <v>25</v>
      </c>
      <c r="C189" s="12">
        <v>45449</v>
      </c>
      <c r="D189" s="2" t="s">
        <v>15</v>
      </c>
      <c r="E189" s="2" t="s">
        <v>16</v>
      </c>
      <c r="F189" s="15">
        <v>2728</v>
      </c>
      <c r="G189" s="15">
        <v>533</v>
      </c>
      <c r="H189" s="15">
        <v>215</v>
      </c>
      <c r="I189" s="15">
        <f t="shared" si="6"/>
        <v>3476</v>
      </c>
      <c r="J189" s="17">
        <f t="shared" si="7"/>
        <v>8.4946236559139784E-2</v>
      </c>
      <c r="K189" s="15">
        <v>40920</v>
      </c>
      <c r="L189" s="15">
        <v>40816</v>
      </c>
      <c r="M189" s="15">
        <v>137</v>
      </c>
      <c r="N189" s="2" t="s">
        <v>17</v>
      </c>
      <c r="O189" s="2"/>
      <c r="P189" s="2" t="s">
        <v>23</v>
      </c>
      <c r="Q189" s="20">
        <v>14090</v>
      </c>
      <c r="R189">
        <v>1633</v>
      </c>
      <c r="S189" s="38">
        <f t="shared" si="8"/>
        <v>0.24669978708303761</v>
      </c>
      <c r="V189" s="39"/>
    </row>
    <row r="190" spans="1:22" ht="14.25" customHeight="1" x14ac:dyDescent="0.3">
      <c r="A190" s="2" t="s">
        <v>226</v>
      </c>
      <c r="B190" s="2" t="s">
        <v>33</v>
      </c>
      <c r="C190" s="12">
        <v>45740</v>
      </c>
      <c r="D190" s="2" t="s">
        <v>15</v>
      </c>
      <c r="E190" s="2" t="s">
        <v>16</v>
      </c>
      <c r="F190" s="15">
        <v>3360</v>
      </c>
      <c r="G190" s="15">
        <v>525</v>
      </c>
      <c r="H190" s="15">
        <v>500</v>
      </c>
      <c r="I190" s="15">
        <f t="shared" si="6"/>
        <v>4385</v>
      </c>
      <c r="J190" s="17">
        <f t="shared" si="7"/>
        <v>7.2503306878306875E-2</v>
      </c>
      <c r="K190" s="15">
        <v>60480</v>
      </c>
      <c r="L190" s="15">
        <v>59610</v>
      </c>
      <c r="M190" s="15">
        <v>192</v>
      </c>
      <c r="N190" s="2" t="s">
        <v>17</v>
      </c>
      <c r="O190" s="2" t="s">
        <v>45</v>
      </c>
      <c r="P190" s="2" t="s">
        <v>18</v>
      </c>
      <c r="Q190" s="20">
        <v>14216</v>
      </c>
      <c r="R190">
        <v>1539</v>
      </c>
      <c r="S190" s="38">
        <f t="shared" si="8"/>
        <v>0.30845526167698367</v>
      </c>
      <c r="V190" s="39"/>
    </row>
    <row r="191" spans="1:22" ht="14.25" customHeight="1" x14ac:dyDescent="0.3">
      <c r="A191" s="2" t="s">
        <v>227</v>
      </c>
      <c r="B191" s="2" t="s">
        <v>25</v>
      </c>
      <c r="C191" s="12">
        <v>45569</v>
      </c>
      <c r="D191" s="2" t="s">
        <v>20</v>
      </c>
      <c r="E191" s="2" t="s">
        <v>21</v>
      </c>
      <c r="F191" s="15">
        <v>1963</v>
      </c>
      <c r="G191" s="15">
        <v>213</v>
      </c>
      <c r="H191" s="15">
        <v>19</v>
      </c>
      <c r="I191" s="15">
        <f t="shared" si="6"/>
        <v>2195</v>
      </c>
      <c r="J191" s="17">
        <f t="shared" si="7"/>
        <v>5.5909322465613857E-2</v>
      </c>
      <c r="K191" s="15">
        <v>39260</v>
      </c>
      <c r="L191" s="15">
        <v>38771</v>
      </c>
      <c r="M191" s="15">
        <v>145</v>
      </c>
      <c r="N191" s="2" t="s">
        <v>45</v>
      </c>
      <c r="O191" s="2"/>
      <c r="P191" s="2" t="s">
        <v>18</v>
      </c>
      <c r="Q191" s="20">
        <v>3582</v>
      </c>
      <c r="R191">
        <v>453</v>
      </c>
      <c r="S191" s="38">
        <f t="shared" si="8"/>
        <v>0.61278615298715799</v>
      </c>
      <c r="V191" s="39"/>
    </row>
    <row r="192" spans="1:22" ht="14.25" customHeight="1" x14ac:dyDescent="0.3">
      <c r="A192" s="2" t="s">
        <v>228</v>
      </c>
      <c r="B192" s="2" t="s">
        <v>25</v>
      </c>
      <c r="C192" s="12">
        <v>45629</v>
      </c>
      <c r="D192" s="2" t="s">
        <v>28</v>
      </c>
      <c r="E192" s="2" t="s">
        <v>29</v>
      </c>
      <c r="F192" s="15">
        <v>4285</v>
      </c>
      <c r="G192" s="15">
        <v>886</v>
      </c>
      <c r="H192" s="15">
        <v>376</v>
      </c>
      <c r="I192" s="15">
        <f t="shared" si="6"/>
        <v>5547</v>
      </c>
      <c r="J192" s="17">
        <f t="shared" si="7"/>
        <v>9.9578134817341346E-2</v>
      </c>
      <c r="K192" s="15">
        <v>55705</v>
      </c>
      <c r="L192" s="15">
        <v>55556</v>
      </c>
      <c r="M192" s="15">
        <v>51</v>
      </c>
      <c r="N192" s="2" t="s">
        <v>22</v>
      </c>
      <c r="O192" s="2" t="s">
        <v>54</v>
      </c>
      <c r="P192" s="2" t="s">
        <v>43</v>
      </c>
      <c r="Q192" s="20">
        <v>32500</v>
      </c>
      <c r="R192">
        <v>948</v>
      </c>
      <c r="S192" s="38">
        <f t="shared" si="8"/>
        <v>0.17067692307692309</v>
      </c>
      <c r="V192" s="39"/>
    </row>
    <row r="193" spans="1:22" ht="14.25" customHeight="1" x14ac:dyDescent="0.3">
      <c r="A193" s="2" t="s">
        <v>229</v>
      </c>
      <c r="B193" s="2" t="s">
        <v>27</v>
      </c>
      <c r="C193" s="12">
        <v>45625</v>
      </c>
      <c r="D193" s="2" t="s">
        <v>50</v>
      </c>
      <c r="E193" s="2" t="s">
        <v>51</v>
      </c>
      <c r="F193" s="15">
        <v>1176</v>
      </c>
      <c r="G193" s="15">
        <v>464</v>
      </c>
      <c r="H193" s="15">
        <v>394</v>
      </c>
      <c r="I193" s="15">
        <f t="shared" si="6"/>
        <v>2034</v>
      </c>
      <c r="J193" s="17">
        <f t="shared" si="7"/>
        <v>0.1441326530612245</v>
      </c>
      <c r="K193" s="15">
        <v>14112</v>
      </c>
      <c r="L193" s="15">
        <v>13588</v>
      </c>
      <c r="M193" s="15">
        <v>272</v>
      </c>
      <c r="N193" s="2" t="s">
        <v>54</v>
      </c>
      <c r="O193" s="2"/>
      <c r="P193" s="2" t="s">
        <v>18</v>
      </c>
      <c r="Q193" s="20">
        <v>6832</v>
      </c>
      <c r="R193">
        <v>637</v>
      </c>
      <c r="S193" s="38">
        <f t="shared" si="8"/>
        <v>0.29771662763466045</v>
      </c>
      <c r="V193" s="39"/>
    </row>
    <row r="194" spans="1:22" ht="14.25" customHeight="1" x14ac:dyDescent="0.3">
      <c r="A194" s="2" t="s">
        <v>230</v>
      </c>
      <c r="B194" s="2" t="s">
        <v>14</v>
      </c>
      <c r="C194" s="12">
        <v>45546</v>
      </c>
      <c r="D194" s="2" t="s">
        <v>39</v>
      </c>
      <c r="E194" s="2" t="s">
        <v>40</v>
      </c>
      <c r="F194" s="15">
        <v>4858</v>
      </c>
      <c r="G194" s="15">
        <v>317</v>
      </c>
      <c r="H194" s="15">
        <v>129</v>
      </c>
      <c r="I194" s="15">
        <f t="shared" si="6"/>
        <v>5304</v>
      </c>
      <c r="J194" s="17">
        <f t="shared" si="7"/>
        <v>9.9255211647142488E-2</v>
      </c>
      <c r="K194" s="15">
        <v>53438</v>
      </c>
      <c r="L194" s="15">
        <v>52687</v>
      </c>
      <c r="M194" s="15">
        <v>223</v>
      </c>
      <c r="N194" s="2" t="s">
        <v>54</v>
      </c>
      <c r="O194" s="2" t="s">
        <v>36</v>
      </c>
      <c r="P194" s="2" t="s">
        <v>18</v>
      </c>
      <c r="Q194" s="20">
        <v>33381</v>
      </c>
      <c r="R194">
        <v>1881</v>
      </c>
      <c r="S194" s="38">
        <f t="shared" si="8"/>
        <v>0.1588927833198526</v>
      </c>
      <c r="V194" s="39"/>
    </row>
    <row r="195" spans="1:22" ht="14.25" customHeight="1" x14ac:dyDescent="0.3">
      <c r="A195" s="2" t="s">
        <v>231</v>
      </c>
      <c r="B195" s="2" t="s">
        <v>25</v>
      </c>
      <c r="C195" s="12">
        <v>45567</v>
      </c>
      <c r="D195" s="2" t="s">
        <v>28</v>
      </c>
      <c r="E195" s="2" t="s">
        <v>29</v>
      </c>
      <c r="F195" s="15">
        <v>4350</v>
      </c>
      <c r="G195" s="15">
        <v>771</v>
      </c>
      <c r="H195" s="15">
        <v>7</v>
      </c>
      <c r="I195" s="15">
        <f t="shared" ref="I195:I258" si="9">SUM(F195+G195+H195)</f>
        <v>5128</v>
      </c>
      <c r="J195" s="17">
        <f t="shared" ref="J195:J258" si="10">(F195+G195+H195)/K195</f>
        <v>8.4203612479474554E-2</v>
      </c>
      <c r="K195" s="15">
        <v>60900</v>
      </c>
      <c r="L195" s="15">
        <v>60592</v>
      </c>
      <c r="M195" s="15">
        <v>195</v>
      </c>
      <c r="N195" s="2" t="s">
        <v>54</v>
      </c>
      <c r="O195" s="2" t="s">
        <v>45</v>
      </c>
      <c r="P195" s="2" t="s">
        <v>23</v>
      </c>
      <c r="Q195" s="20">
        <v>48419</v>
      </c>
      <c r="R195">
        <v>339</v>
      </c>
      <c r="S195" s="38">
        <f t="shared" ref="S195:S201" si="11">I195/Q195</f>
        <v>0.105908837439848</v>
      </c>
      <c r="V195" s="39"/>
    </row>
    <row r="196" spans="1:22" ht="14.25" customHeight="1" x14ac:dyDescent="0.3">
      <c r="A196" s="2" t="s">
        <v>232</v>
      </c>
      <c r="B196" s="2" t="s">
        <v>27</v>
      </c>
      <c r="C196" s="12">
        <v>45519</v>
      </c>
      <c r="D196" s="2" t="s">
        <v>34</v>
      </c>
      <c r="E196" s="2" t="s">
        <v>35</v>
      </c>
      <c r="F196" s="15">
        <v>914</v>
      </c>
      <c r="G196" s="15">
        <v>464</v>
      </c>
      <c r="H196" s="15">
        <v>246</v>
      </c>
      <c r="I196" s="15">
        <f t="shared" si="9"/>
        <v>1624</v>
      </c>
      <c r="J196" s="17">
        <f t="shared" si="10"/>
        <v>0.13667732704931829</v>
      </c>
      <c r="K196" s="15">
        <v>11882</v>
      </c>
      <c r="L196" s="15">
        <v>11500</v>
      </c>
      <c r="M196" s="15">
        <v>282</v>
      </c>
      <c r="N196" s="2" t="s">
        <v>22</v>
      </c>
      <c r="O196" s="2" t="s">
        <v>36</v>
      </c>
      <c r="P196" s="2" t="s">
        <v>31</v>
      </c>
      <c r="Q196" s="20">
        <v>16149</v>
      </c>
      <c r="R196">
        <v>1510</v>
      </c>
      <c r="S196" s="38">
        <f t="shared" si="11"/>
        <v>0.10056350238404854</v>
      </c>
      <c r="V196" s="39"/>
    </row>
    <row r="197" spans="1:22" ht="14.25" customHeight="1" x14ac:dyDescent="0.3">
      <c r="A197" s="2" t="s">
        <v>233</v>
      </c>
      <c r="B197" s="2" t="s">
        <v>27</v>
      </c>
      <c r="C197" s="12">
        <v>45645</v>
      </c>
      <c r="D197" s="2" t="s">
        <v>20</v>
      </c>
      <c r="E197" s="2" t="s">
        <v>21</v>
      </c>
      <c r="F197" s="15">
        <v>1813</v>
      </c>
      <c r="G197" s="15">
        <v>623</v>
      </c>
      <c r="H197" s="15">
        <v>72</v>
      </c>
      <c r="I197" s="15">
        <f t="shared" si="9"/>
        <v>2508</v>
      </c>
      <c r="J197" s="17">
        <f t="shared" si="10"/>
        <v>0.12575841147269717</v>
      </c>
      <c r="K197" s="15">
        <v>19943</v>
      </c>
      <c r="L197" s="15">
        <v>18959</v>
      </c>
      <c r="M197" s="15">
        <v>85</v>
      </c>
      <c r="N197" s="2" t="s">
        <v>36</v>
      </c>
      <c r="O197" s="2" t="s">
        <v>22</v>
      </c>
      <c r="P197" s="2" t="s">
        <v>31</v>
      </c>
      <c r="Q197" s="20">
        <v>7541</v>
      </c>
      <c r="R197">
        <v>864</v>
      </c>
      <c r="S197" s="38">
        <f t="shared" si="11"/>
        <v>0.33258188569155284</v>
      </c>
      <c r="V197" s="39"/>
    </row>
    <row r="198" spans="1:22" ht="14.25" customHeight="1" x14ac:dyDescent="0.3">
      <c r="A198" s="2" t="s">
        <v>234</v>
      </c>
      <c r="B198" s="2" t="s">
        <v>14</v>
      </c>
      <c r="C198" s="12">
        <v>45587</v>
      </c>
      <c r="D198" s="2" t="s">
        <v>15</v>
      </c>
      <c r="E198" s="2" t="s">
        <v>16</v>
      </c>
      <c r="F198" s="15">
        <v>4782</v>
      </c>
      <c r="G198" s="15">
        <v>721</v>
      </c>
      <c r="H198" s="15">
        <v>82</v>
      </c>
      <c r="I198" s="15">
        <f t="shared" si="9"/>
        <v>5585</v>
      </c>
      <c r="J198" s="17">
        <f t="shared" si="10"/>
        <v>6.4884520656164318E-2</v>
      </c>
      <c r="K198" s="15">
        <v>86076</v>
      </c>
      <c r="L198" s="15">
        <v>85339</v>
      </c>
      <c r="M198" s="15">
        <v>19</v>
      </c>
      <c r="N198" s="2" t="s">
        <v>54</v>
      </c>
      <c r="O198" s="2"/>
      <c r="P198" s="2" t="s">
        <v>23</v>
      </c>
      <c r="Q198" s="20">
        <v>20042</v>
      </c>
      <c r="R198">
        <v>1656</v>
      </c>
      <c r="S198" s="38">
        <f t="shared" si="11"/>
        <v>0.27866480391178527</v>
      </c>
      <c r="V198" s="39"/>
    </row>
    <row r="199" spans="1:22" ht="14.25" customHeight="1" x14ac:dyDescent="0.3">
      <c r="A199" s="2" t="s">
        <v>235</v>
      </c>
      <c r="B199" s="2" t="s">
        <v>14</v>
      </c>
      <c r="C199" s="12">
        <v>45549</v>
      </c>
      <c r="D199" s="2" t="s">
        <v>39</v>
      </c>
      <c r="E199" s="2" t="s">
        <v>40</v>
      </c>
      <c r="F199" s="15">
        <v>1048</v>
      </c>
      <c r="G199" s="15">
        <v>374</v>
      </c>
      <c r="H199" s="15">
        <v>450</v>
      </c>
      <c r="I199" s="15">
        <f t="shared" si="9"/>
        <v>1872</v>
      </c>
      <c r="J199" s="17">
        <f t="shared" si="10"/>
        <v>0.19847328244274809</v>
      </c>
      <c r="K199" s="15">
        <v>9432</v>
      </c>
      <c r="L199" s="15">
        <v>8882</v>
      </c>
      <c r="M199" s="15">
        <v>158</v>
      </c>
      <c r="N199" s="2" t="s">
        <v>36</v>
      </c>
      <c r="O199" s="2" t="s">
        <v>17</v>
      </c>
      <c r="P199" s="2" t="s">
        <v>23</v>
      </c>
      <c r="Q199" s="20">
        <v>49400</v>
      </c>
      <c r="R199">
        <v>407</v>
      </c>
      <c r="S199" s="38">
        <f t="shared" si="11"/>
        <v>3.7894736842105266E-2</v>
      </c>
      <c r="V199" s="39"/>
    </row>
    <row r="200" spans="1:22" ht="14.25" customHeight="1" x14ac:dyDescent="0.3">
      <c r="A200" s="2" t="s">
        <v>236</v>
      </c>
      <c r="B200" s="2" t="s">
        <v>25</v>
      </c>
      <c r="C200" s="12">
        <v>45626</v>
      </c>
      <c r="D200" s="2" t="s">
        <v>34</v>
      </c>
      <c r="E200" s="2" t="s">
        <v>35</v>
      </c>
      <c r="F200" s="15">
        <v>2509</v>
      </c>
      <c r="G200" s="15">
        <v>324</v>
      </c>
      <c r="H200" s="15">
        <v>171</v>
      </c>
      <c r="I200" s="15">
        <f t="shared" si="9"/>
        <v>3004</v>
      </c>
      <c r="J200" s="17">
        <f t="shared" si="10"/>
        <v>8.5520696919660646E-2</v>
      </c>
      <c r="K200" s="15">
        <v>35126</v>
      </c>
      <c r="L200" s="15">
        <v>34685</v>
      </c>
      <c r="M200" s="15">
        <v>277</v>
      </c>
      <c r="N200" s="2" t="s">
        <v>54</v>
      </c>
      <c r="O200" s="2"/>
      <c r="P200" s="2" t="s">
        <v>23</v>
      </c>
      <c r="Q200" s="20">
        <v>4007</v>
      </c>
      <c r="R200">
        <v>269</v>
      </c>
      <c r="S200" s="38">
        <f t="shared" si="11"/>
        <v>0.74968804591964067</v>
      </c>
      <c r="V200" s="39"/>
    </row>
    <row r="201" spans="1:22" ht="14.25" customHeight="1" x14ac:dyDescent="0.3">
      <c r="A201" s="2" t="s">
        <v>237</v>
      </c>
      <c r="B201" s="2" t="s">
        <v>33</v>
      </c>
      <c r="C201" s="12">
        <v>45754</v>
      </c>
      <c r="D201" s="2" t="s">
        <v>15</v>
      </c>
      <c r="E201" s="2" t="s">
        <v>16</v>
      </c>
      <c r="F201" s="15">
        <v>3718</v>
      </c>
      <c r="G201" s="15">
        <v>385</v>
      </c>
      <c r="H201" s="15">
        <v>310</v>
      </c>
      <c r="I201" s="15">
        <f t="shared" si="9"/>
        <v>4413</v>
      </c>
      <c r="J201" s="17">
        <f t="shared" si="10"/>
        <v>6.246991874522239E-2</v>
      </c>
      <c r="K201" s="15">
        <v>70642</v>
      </c>
      <c r="L201" s="15">
        <v>69749</v>
      </c>
      <c r="M201" s="15">
        <v>233</v>
      </c>
      <c r="N201" s="2" t="s">
        <v>36</v>
      </c>
      <c r="O201" s="2"/>
      <c r="P201" s="2" t="s">
        <v>18</v>
      </c>
      <c r="Q201" s="20">
        <v>12174</v>
      </c>
      <c r="R201">
        <v>-337</v>
      </c>
      <c r="S201" s="38">
        <f t="shared" si="11"/>
        <v>0.36249383932971907</v>
      </c>
      <c r="V201" s="39"/>
    </row>
    <row r="202" spans="1:22" ht="14.25" customHeight="1" x14ac:dyDescent="0.3">
      <c r="A202" s="2" t="s">
        <v>238</v>
      </c>
      <c r="B202" s="2" t="s">
        <v>14</v>
      </c>
      <c r="C202" s="12">
        <v>45672</v>
      </c>
      <c r="D202" s="2" t="s">
        <v>15</v>
      </c>
      <c r="E202" s="2" t="s">
        <v>16</v>
      </c>
      <c r="F202" s="15">
        <v>802</v>
      </c>
      <c r="G202" s="15">
        <v>262</v>
      </c>
      <c r="H202" s="15">
        <v>244</v>
      </c>
      <c r="I202" s="15">
        <f t="shared" si="9"/>
        <v>1308</v>
      </c>
      <c r="J202" s="17">
        <f t="shared" si="10"/>
        <v>9.0606816292601824E-2</v>
      </c>
      <c r="K202" s="15">
        <v>14436</v>
      </c>
      <c r="L202" s="15">
        <v>14280</v>
      </c>
      <c r="M202" s="15">
        <v>49</v>
      </c>
      <c r="N202" s="2" t="s">
        <v>17</v>
      </c>
      <c r="O202" s="2" t="s">
        <v>54</v>
      </c>
      <c r="P202" s="2" t="s">
        <v>43</v>
      </c>
      <c r="V202" s="39"/>
    </row>
    <row r="203" spans="1:22" ht="14.25" customHeight="1" x14ac:dyDescent="0.3">
      <c r="A203" s="2" t="s">
        <v>239</v>
      </c>
      <c r="B203" s="2" t="s">
        <v>33</v>
      </c>
      <c r="C203" s="12">
        <v>45445</v>
      </c>
      <c r="D203" s="2" t="s">
        <v>39</v>
      </c>
      <c r="E203" s="2" t="s">
        <v>40</v>
      </c>
      <c r="F203" s="15">
        <v>1871</v>
      </c>
      <c r="G203" s="15">
        <v>252</v>
      </c>
      <c r="H203" s="15">
        <v>335</v>
      </c>
      <c r="I203" s="15">
        <f t="shared" si="9"/>
        <v>2458</v>
      </c>
      <c r="J203" s="17">
        <f t="shared" si="10"/>
        <v>8.2108498129342594E-2</v>
      </c>
      <c r="K203" s="15">
        <v>29936</v>
      </c>
      <c r="L203" s="15">
        <v>29576</v>
      </c>
      <c r="M203" s="15">
        <v>288</v>
      </c>
      <c r="N203" s="2" t="s">
        <v>36</v>
      </c>
      <c r="O203" s="2"/>
      <c r="P203" s="2" t="s">
        <v>23</v>
      </c>
      <c r="V203" s="39"/>
    </row>
    <row r="204" spans="1:22" ht="14.25" customHeight="1" x14ac:dyDescent="0.3">
      <c r="A204" s="2" t="s">
        <v>240</v>
      </c>
      <c r="B204" s="2" t="s">
        <v>27</v>
      </c>
      <c r="C204" s="12">
        <v>45617</v>
      </c>
      <c r="D204" s="2" t="s">
        <v>34</v>
      </c>
      <c r="E204" s="2" t="s">
        <v>35</v>
      </c>
      <c r="F204" s="15">
        <v>3773</v>
      </c>
      <c r="G204" s="15">
        <v>299</v>
      </c>
      <c r="H204" s="15">
        <v>38</v>
      </c>
      <c r="I204" s="15">
        <f t="shared" si="9"/>
        <v>4110</v>
      </c>
      <c r="J204" s="17">
        <f t="shared" si="10"/>
        <v>5.7332570758993957E-2</v>
      </c>
      <c r="K204" s="15">
        <v>71687</v>
      </c>
      <c r="L204" s="15">
        <v>71447</v>
      </c>
      <c r="M204" s="15">
        <v>286</v>
      </c>
      <c r="N204" s="2" t="s">
        <v>36</v>
      </c>
      <c r="O204" s="2"/>
      <c r="P204" s="2" t="s">
        <v>43</v>
      </c>
      <c r="V204" s="39"/>
    </row>
    <row r="205" spans="1:22" ht="14.25" customHeight="1" x14ac:dyDescent="0.3">
      <c r="A205" s="2" t="s">
        <v>241</v>
      </c>
      <c r="B205" s="2" t="s">
        <v>27</v>
      </c>
      <c r="C205" s="12">
        <v>45658</v>
      </c>
      <c r="D205" s="2" t="s">
        <v>34</v>
      </c>
      <c r="E205" s="2" t="s">
        <v>35</v>
      </c>
      <c r="F205" s="15">
        <v>2234</v>
      </c>
      <c r="G205" s="15">
        <v>653</v>
      </c>
      <c r="H205" s="15">
        <v>432</v>
      </c>
      <c r="I205" s="15">
        <f t="shared" si="9"/>
        <v>3319</v>
      </c>
      <c r="J205" s="17">
        <f t="shared" si="10"/>
        <v>0.29713518352730528</v>
      </c>
      <c r="K205" s="15">
        <v>11170</v>
      </c>
      <c r="L205" s="15">
        <v>10569</v>
      </c>
      <c r="M205" s="15">
        <v>198</v>
      </c>
      <c r="N205" s="2" t="s">
        <v>54</v>
      </c>
      <c r="O205" s="2" t="s">
        <v>45</v>
      </c>
      <c r="P205" s="2" t="s">
        <v>43</v>
      </c>
      <c r="V205" s="39"/>
    </row>
    <row r="206" spans="1:22" ht="14.25" customHeight="1" x14ac:dyDescent="0.3">
      <c r="A206" s="2" t="s">
        <v>242</v>
      </c>
      <c r="B206" s="2" t="s">
        <v>14</v>
      </c>
      <c r="C206" s="12">
        <v>45771</v>
      </c>
      <c r="D206" s="2" t="s">
        <v>50</v>
      </c>
      <c r="E206" s="2" t="s">
        <v>51</v>
      </c>
      <c r="F206" s="15">
        <v>3820</v>
      </c>
      <c r="G206" s="15">
        <v>697</v>
      </c>
      <c r="H206" s="15">
        <v>268</v>
      </c>
      <c r="I206" s="15">
        <f t="shared" si="9"/>
        <v>4785</v>
      </c>
      <c r="J206" s="17">
        <f t="shared" si="10"/>
        <v>0.1043848167539267</v>
      </c>
      <c r="K206" s="15">
        <v>45840</v>
      </c>
      <c r="L206" s="15">
        <v>45631</v>
      </c>
      <c r="M206" s="15">
        <v>171</v>
      </c>
      <c r="N206" s="2" t="s">
        <v>45</v>
      </c>
      <c r="O206" s="2" t="s">
        <v>54</v>
      </c>
      <c r="P206" s="2" t="s">
        <v>18</v>
      </c>
      <c r="V206" s="39"/>
    </row>
    <row r="207" spans="1:22" ht="14.25" customHeight="1" x14ac:dyDescent="0.3">
      <c r="A207" s="2" t="s">
        <v>243</v>
      </c>
      <c r="B207" s="2" t="s">
        <v>14</v>
      </c>
      <c r="C207" s="12">
        <v>45467</v>
      </c>
      <c r="D207" s="2" t="s">
        <v>20</v>
      </c>
      <c r="E207" s="2" t="s">
        <v>21</v>
      </c>
      <c r="F207" s="15">
        <v>941</v>
      </c>
      <c r="G207" s="15">
        <v>121</v>
      </c>
      <c r="H207" s="15">
        <v>458</v>
      </c>
      <c r="I207" s="15">
        <f t="shared" si="9"/>
        <v>1520</v>
      </c>
      <c r="J207" s="17">
        <f t="shared" si="10"/>
        <v>0.10768685795253277</v>
      </c>
      <c r="K207" s="15">
        <v>14115</v>
      </c>
      <c r="L207" s="15">
        <v>13838</v>
      </c>
      <c r="M207" s="15">
        <v>87</v>
      </c>
      <c r="N207" s="2" t="s">
        <v>22</v>
      </c>
      <c r="O207" s="2" t="s">
        <v>17</v>
      </c>
      <c r="P207" s="2" t="s">
        <v>23</v>
      </c>
      <c r="V207" s="39"/>
    </row>
    <row r="208" spans="1:22" ht="14.25" customHeight="1" x14ac:dyDescent="0.3">
      <c r="A208" s="2" t="s">
        <v>244</v>
      </c>
      <c r="B208" s="2" t="s">
        <v>14</v>
      </c>
      <c r="C208" s="12">
        <v>45655</v>
      </c>
      <c r="D208" s="2" t="s">
        <v>34</v>
      </c>
      <c r="E208" s="2" t="s">
        <v>35</v>
      </c>
      <c r="F208" s="15">
        <v>4274</v>
      </c>
      <c r="G208" s="15">
        <v>340</v>
      </c>
      <c r="H208" s="15">
        <v>281</v>
      </c>
      <c r="I208" s="15">
        <f t="shared" si="9"/>
        <v>4895</v>
      </c>
      <c r="J208" s="17">
        <f t="shared" si="10"/>
        <v>0.14316214319138981</v>
      </c>
      <c r="K208" s="15">
        <v>34192</v>
      </c>
      <c r="L208" s="15">
        <v>33446</v>
      </c>
      <c r="M208" s="15">
        <v>129</v>
      </c>
      <c r="N208" s="2" t="s">
        <v>45</v>
      </c>
      <c r="O208" s="2" t="s">
        <v>54</v>
      </c>
      <c r="P208" s="2" t="s">
        <v>31</v>
      </c>
      <c r="V208" s="39"/>
    </row>
    <row r="209" spans="1:22" ht="14.25" customHeight="1" x14ac:dyDescent="0.3">
      <c r="A209" s="2" t="s">
        <v>245</v>
      </c>
      <c r="B209" s="2" t="s">
        <v>25</v>
      </c>
      <c r="C209" s="12">
        <v>45467</v>
      </c>
      <c r="D209" s="2" t="s">
        <v>50</v>
      </c>
      <c r="E209" s="2" t="s">
        <v>51</v>
      </c>
      <c r="F209" s="15">
        <v>2949</v>
      </c>
      <c r="G209" s="15">
        <v>476</v>
      </c>
      <c r="H209" s="15">
        <v>403</v>
      </c>
      <c r="I209" s="15">
        <f t="shared" si="9"/>
        <v>3828</v>
      </c>
      <c r="J209" s="17">
        <f t="shared" si="10"/>
        <v>8.6537809426924378E-2</v>
      </c>
      <c r="K209" s="15">
        <v>44235</v>
      </c>
      <c r="L209" s="15">
        <v>43705</v>
      </c>
      <c r="M209" s="15">
        <v>135</v>
      </c>
      <c r="N209" s="2" t="s">
        <v>36</v>
      </c>
      <c r="O209" s="2" t="s">
        <v>54</v>
      </c>
      <c r="P209" s="2" t="s">
        <v>18</v>
      </c>
      <c r="V209" s="39"/>
    </row>
    <row r="210" spans="1:22" ht="14.25" customHeight="1" x14ac:dyDescent="0.3">
      <c r="A210" s="2" t="s">
        <v>246</v>
      </c>
      <c r="B210" s="2" t="s">
        <v>14</v>
      </c>
      <c r="C210" s="12">
        <v>45735</v>
      </c>
      <c r="D210" s="2" t="s">
        <v>50</v>
      </c>
      <c r="E210" s="2" t="s">
        <v>51</v>
      </c>
      <c r="F210" s="15">
        <v>3160</v>
      </c>
      <c r="G210" s="15">
        <v>204</v>
      </c>
      <c r="H210" s="15">
        <v>297</v>
      </c>
      <c r="I210" s="15">
        <f t="shared" si="9"/>
        <v>3661</v>
      </c>
      <c r="J210" s="17">
        <f t="shared" si="10"/>
        <v>8.2753164556962022E-2</v>
      </c>
      <c r="K210" s="15">
        <v>44240</v>
      </c>
      <c r="L210" s="15">
        <v>43666</v>
      </c>
      <c r="M210" s="15">
        <v>49</v>
      </c>
      <c r="N210" s="2" t="s">
        <v>45</v>
      </c>
      <c r="O210" s="2" t="s">
        <v>36</v>
      </c>
      <c r="P210" s="2" t="s">
        <v>18</v>
      </c>
      <c r="V210" s="39"/>
    </row>
    <row r="211" spans="1:22" ht="14.25" customHeight="1" x14ac:dyDescent="0.3">
      <c r="A211" s="2" t="s">
        <v>247</v>
      </c>
      <c r="B211" s="2" t="s">
        <v>25</v>
      </c>
      <c r="C211" s="12">
        <v>45707</v>
      </c>
      <c r="D211" s="2" t="s">
        <v>39</v>
      </c>
      <c r="E211" s="2" t="s">
        <v>40</v>
      </c>
      <c r="F211" s="15">
        <v>257</v>
      </c>
      <c r="G211" s="15">
        <v>966</v>
      </c>
      <c r="H211" s="15">
        <v>398</v>
      </c>
      <c r="I211" s="15">
        <f t="shared" si="9"/>
        <v>1621</v>
      </c>
      <c r="J211" s="17">
        <f t="shared" si="10"/>
        <v>0.48518407662376534</v>
      </c>
      <c r="K211" s="15">
        <v>3341</v>
      </c>
      <c r="L211" s="15">
        <v>2753</v>
      </c>
      <c r="M211" s="15">
        <v>287</v>
      </c>
      <c r="N211" s="2" t="s">
        <v>36</v>
      </c>
      <c r="O211" s="2" t="s">
        <v>17</v>
      </c>
      <c r="P211" s="2" t="s">
        <v>18</v>
      </c>
      <c r="V211" s="39"/>
    </row>
    <row r="212" spans="1:22" ht="14.25" customHeight="1" x14ac:dyDescent="0.3">
      <c r="A212" s="2" t="s">
        <v>248</v>
      </c>
      <c r="B212" s="2" t="s">
        <v>14</v>
      </c>
      <c r="C212" s="12">
        <v>45491</v>
      </c>
      <c r="D212" s="2" t="s">
        <v>34</v>
      </c>
      <c r="E212" s="2" t="s">
        <v>35</v>
      </c>
      <c r="F212" s="15">
        <v>2120</v>
      </c>
      <c r="G212" s="15">
        <v>38</v>
      </c>
      <c r="H212" s="15">
        <v>212</v>
      </c>
      <c r="I212" s="15">
        <f t="shared" si="9"/>
        <v>2370</v>
      </c>
      <c r="J212" s="17">
        <f t="shared" si="10"/>
        <v>0.18632075471698112</v>
      </c>
      <c r="K212" s="15">
        <v>12720</v>
      </c>
      <c r="L212" s="15">
        <v>12564</v>
      </c>
      <c r="M212" s="15">
        <v>21</v>
      </c>
      <c r="N212" s="2" t="s">
        <v>36</v>
      </c>
      <c r="O212" s="2" t="s">
        <v>17</v>
      </c>
      <c r="P212" s="2" t="s">
        <v>18</v>
      </c>
      <c r="V212" s="39"/>
    </row>
    <row r="213" spans="1:22" ht="14.25" customHeight="1" x14ac:dyDescent="0.3">
      <c r="A213" s="2" t="s">
        <v>249</v>
      </c>
      <c r="B213" s="2" t="s">
        <v>25</v>
      </c>
      <c r="C213" s="12">
        <v>45719</v>
      </c>
      <c r="D213" s="2" t="s">
        <v>50</v>
      </c>
      <c r="E213" s="2" t="s">
        <v>51</v>
      </c>
      <c r="F213" s="15">
        <v>3874</v>
      </c>
      <c r="G213" s="15">
        <v>884</v>
      </c>
      <c r="H213" s="15">
        <v>19</v>
      </c>
      <c r="I213" s="15">
        <f t="shared" si="9"/>
        <v>4777</v>
      </c>
      <c r="J213" s="17">
        <f t="shared" si="10"/>
        <v>0.123309241094476</v>
      </c>
      <c r="K213" s="15">
        <v>38740</v>
      </c>
      <c r="L213" s="15">
        <v>38552</v>
      </c>
      <c r="M213" s="15">
        <v>219</v>
      </c>
      <c r="N213" s="2" t="s">
        <v>45</v>
      </c>
      <c r="O213" s="2"/>
      <c r="P213" s="2" t="s">
        <v>43</v>
      </c>
      <c r="V213" s="39"/>
    </row>
    <row r="214" spans="1:22" ht="14.25" customHeight="1" x14ac:dyDescent="0.3">
      <c r="A214" s="2" t="s">
        <v>250</v>
      </c>
      <c r="B214" s="2" t="s">
        <v>33</v>
      </c>
      <c r="C214" s="12">
        <v>45778</v>
      </c>
      <c r="D214" s="2" t="s">
        <v>34</v>
      </c>
      <c r="E214" s="2" t="s">
        <v>35</v>
      </c>
      <c r="F214" s="15">
        <v>2696</v>
      </c>
      <c r="G214" s="15">
        <v>628</v>
      </c>
      <c r="H214" s="15">
        <v>443</v>
      </c>
      <c r="I214" s="15">
        <f t="shared" si="9"/>
        <v>3767</v>
      </c>
      <c r="J214" s="17">
        <f t="shared" si="10"/>
        <v>8.21914819340199E-2</v>
      </c>
      <c r="K214" s="15">
        <v>45832</v>
      </c>
      <c r="L214" s="15">
        <v>45632</v>
      </c>
      <c r="M214" s="15">
        <v>248</v>
      </c>
      <c r="N214" s="2" t="s">
        <v>17</v>
      </c>
      <c r="O214" s="2"/>
      <c r="P214" s="2" t="s">
        <v>31</v>
      </c>
      <c r="V214" s="39"/>
    </row>
    <row r="215" spans="1:22" ht="14.25" customHeight="1" x14ac:dyDescent="0.3">
      <c r="A215" s="2" t="s">
        <v>251</v>
      </c>
      <c r="B215" s="2" t="s">
        <v>27</v>
      </c>
      <c r="C215" s="12">
        <v>45649</v>
      </c>
      <c r="D215" s="2" t="s">
        <v>39</v>
      </c>
      <c r="E215" s="2" t="s">
        <v>40</v>
      </c>
      <c r="F215" s="15">
        <v>521</v>
      </c>
      <c r="G215" s="15">
        <v>746</v>
      </c>
      <c r="H215" s="15">
        <v>315</v>
      </c>
      <c r="I215" s="15">
        <f t="shared" si="9"/>
        <v>1582</v>
      </c>
      <c r="J215" s="17">
        <f t="shared" si="10"/>
        <v>0.37955854126679461</v>
      </c>
      <c r="K215" s="15">
        <v>4168</v>
      </c>
      <c r="L215" s="15">
        <v>3399</v>
      </c>
      <c r="M215" s="15">
        <v>282</v>
      </c>
      <c r="N215" s="2" t="s">
        <v>17</v>
      </c>
      <c r="O215" s="2"/>
      <c r="P215" s="2" t="s">
        <v>18</v>
      </c>
      <c r="V215" s="39"/>
    </row>
    <row r="216" spans="1:22" ht="14.25" customHeight="1" x14ac:dyDescent="0.3">
      <c r="A216" s="2" t="s">
        <v>252</v>
      </c>
      <c r="B216" s="2" t="s">
        <v>33</v>
      </c>
      <c r="C216" s="12">
        <v>45783</v>
      </c>
      <c r="D216" s="2" t="s">
        <v>39</v>
      </c>
      <c r="E216" s="2" t="s">
        <v>40</v>
      </c>
      <c r="F216" s="15">
        <v>4872</v>
      </c>
      <c r="G216" s="15">
        <v>925</v>
      </c>
      <c r="H216" s="15">
        <v>176</v>
      </c>
      <c r="I216" s="15">
        <f t="shared" si="9"/>
        <v>5973</v>
      </c>
      <c r="J216" s="17">
        <f t="shared" si="10"/>
        <v>7.2116777745580993E-2</v>
      </c>
      <c r="K216" s="15">
        <v>82824</v>
      </c>
      <c r="L216" s="15">
        <v>82543</v>
      </c>
      <c r="M216" s="15">
        <v>89</v>
      </c>
      <c r="N216" s="2" t="s">
        <v>17</v>
      </c>
      <c r="O216" s="2" t="s">
        <v>36</v>
      </c>
      <c r="P216" s="2" t="s">
        <v>18</v>
      </c>
      <c r="V216" s="39"/>
    </row>
    <row r="217" spans="1:22" ht="14.25" customHeight="1" x14ac:dyDescent="0.3">
      <c r="A217" s="2" t="s">
        <v>253</v>
      </c>
      <c r="B217" s="2" t="s">
        <v>25</v>
      </c>
      <c r="C217" s="12">
        <v>45502</v>
      </c>
      <c r="D217" s="2" t="s">
        <v>28</v>
      </c>
      <c r="E217" s="2" t="s">
        <v>29</v>
      </c>
      <c r="F217" s="15">
        <v>1509</v>
      </c>
      <c r="G217" s="15">
        <v>88</v>
      </c>
      <c r="H217" s="15">
        <v>163</v>
      </c>
      <c r="I217" s="15">
        <f t="shared" si="9"/>
        <v>1760</v>
      </c>
      <c r="J217" s="17">
        <f t="shared" si="10"/>
        <v>5.8316766070245198E-2</v>
      </c>
      <c r="K217" s="15">
        <v>30180</v>
      </c>
      <c r="L217" s="15">
        <v>29689</v>
      </c>
      <c r="M217" s="15">
        <v>119</v>
      </c>
      <c r="N217" s="2" t="s">
        <v>36</v>
      </c>
      <c r="O217" s="2"/>
      <c r="P217" s="2" t="s">
        <v>18</v>
      </c>
      <c r="V217" s="39"/>
    </row>
    <row r="218" spans="1:22" ht="14.25" customHeight="1" x14ac:dyDescent="0.3">
      <c r="A218" s="2" t="s">
        <v>254</v>
      </c>
      <c r="B218" s="2" t="s">
        <v>33</v>
      </c>
      <c r="C218" s="12">
        <v>45629</v>
      </c>
      <c r="D218" s="2" t="s">
        <v>39</v>
      </c>
      <c r="E218" s="2" t="s">
        <v>40</v>
      </c>
      <c r="F218" s="15">
        <v>4606</v>
      </c>
      <c r="G218" s="15">
        <v>931</v>
      </c>
      <c r="H218" s="15">
        <v>230</v>
      </c>
      <c r="I218" s="15">
        <f t="shared" si="9"/>
        <v>5767</v>
      </c>
      <c r="J218" s="17">
        <f t="shared" si="10"/>
        <v>6.2603126356925748E-2</v>
      </c>
      <c r="K218" s="15">
        <v>92120</v>
      </c>
      <c r="L218" s="15">
        <v>91440</v>
      </c>
      <c r="M218" s="15">
        <v>56</v>
      </c>
      <c r="N218" s="2" t="s">
        <v>54</v>
      </c>
      <c r="O218" s="2" t="s">
        <v>22</v>
      </c>
      <c r="P218" s="2" t="s">
        <v>31</v>
      </c>
      <c r="V218" s="39"/>
    </row>
    <row r="219" spans="1:22" ht="14.25" customHeight="1" x14ac:dyDescent="0.3">
      <c r="A219" s="2" t="s">
        <v>255</v>
      </c>
      <c r="B219" s="2" t="s">
        <v>33</v>
      </c>
      <c r="C219" s="12">
        <v>45454</v>
      </c>
      <c r="D219" s="2" t="s">
        <v>34</v>
      </c>
      <c r="E219" s="2" t="s">
        <v>35</v>
      </c>
      <c r="F219" s="15">
        <v>1869</v>
      </c>
      <c r="G219" s="15">
        <v>453</v>
      </c>
      <c r="H219" s="15">
        <v>490</v>
      </c>
      <c r="I219" s="15">
        <f t="shared" si="9"/>
        <v>2812</v>
      </c>
      <c r="J219" s="17">
        <f t="shared" si="10"/>
        <v>0.18806848582129482</v>
      </c>
      <c r="K219" s="15">
        <v>14952</v>
      </c>
      <c r="L219" s="15">
        <v>14309</v>
      </c>
      <c r="M219" s="15">
        <v>275</v>
      </c>
      <c r="N219" s="2" t="s">
        <v>54</v>
      </c>
      <c r="O219" s="2" t="s">
        <v>45</v>
      </c>
      <c r="P219" s="2" t="s">
        <v>18</v>
      </c>
      <c r="V219" s="39"/>
    </row>
    <row r="220" spans="1:22" ht="14.25" customHeight="1" x14ac:dyDescent="0.3">
      <c r="A220" s="2" t="s">
        <v>256</v>
      </c>
      <c r="B220" s="2" t="s">
        <v>14</v>
      </c>
      <c r="C220" s="12">
        <v>45685</v>
      </c>
      <c r="D220" s="2" t="s">
        <v>15</v>
      </c>
      <c r="E220" s="2" t="s">
        <v>16</v>
      </c>
      <c r="F220" s="15">
        <v>1188</v>
      </c>
      <c r="G220" s="15">
        <v>470</v>
      </c>
      <c r="H220" s="15">
        <v>174</v>
      </c>
      <c r="I220" s="15">
        <f t="shared" si="9"/>
        <v>1832</v>
      </c>
      <c r="J220" s="17">
        <f t="shared" si="10"/>
        <v>0.25701459034792368</v>
      </c>
      <c r="K220" s="15">
        <v>7128</v>
      </c>
      <c r="L220" s="15">
        <v>6145</v>
      </c>
      <c r="M220" s="15">
        <v>270</v>
      </c>
      <c r="N220" s="2" t="s">
        <v>45</v>
      </c>
      <c r="O220" s="2" t="s">
        <v>22</v>
      </c>
      <c r="P220" s="2" t="s">
        <v>23</v>
      </c>
      <c r="V220" s="39"/>
    </row>
    <row r="221" spans="1:22" ht="14.25" customHeight="1" x14ac:dyDescent="0.3">
      <c r="A221" s="2" t="s">
        <v>257</v>
      </c>
      <c r="B221" s="2" t="s">
        <v>27</v>
      </c>
      <c r="C221" s="12">
        <v>45445</v>
      </c>
      <c r="D221" s="2" t="s">
        <v>28</v>
      </c>
      <c r="E221" s="2" t="s">
        <v>29</v>
      </c>
      <c r="F221" s="15">
        <v>84</v>
      </c>
      <c r="G221" s="15">
        <v>897</v>
      </c>
      <c r="H221" s="15">
        <v>85</v>
      </c>
      <c r="I221" s="15">
        <f t="shared" si="9"/>
        <v>1066</v>
      </c>
      <c r="J221" s="17">
        <f t="shared" si="10"/>
        <v>1.8129251700680271</v>
      </c>
      <c r="K221" s="15">
        <v>588</v>
      </c>
      <c r="L221" s="15">
        <v>8</v>
      </c>
      <c r="M221" s="15">
        <v>12</v>
      </c>
      <c r="N221" s="2" t="s">
        <v>45</v>
      </c>
      <c r="O221" s="2"/>
      <c r="P221" s="2" t="s">
        <v>23</v>
      </c>
      <c r="V221" s="39"/>
    </row>
    <row r="222" spans="1:22" ht="14.25" customHeight="1" x14ac:dyDescent="0.3">
      <c r="A222" s="2" t="s">
        <v>258</v>
      </c>
      <c r="B222" s="2" t="s">
        <v>33</v>
      </c>
      <c r="C222" s="12">
        <v>45739</v>
      </c>
      <c r="D222" s="2" t="s">
        <v>50</v>
      </c>
      <c r="E222" s="2" t="s">
        <v>51</v>
      </c>
      <c r="F222" s="15">
        <v>4453</v>
      </c>
      <c r="G222" s="15">
        <v>111</v>
      </c>
      <c r="H222" s="15">
        <v>420</v>
      </c>
      <c r="I222" s="15">
        <f t="shared" si="9"/>
        <v>4984</v>
      </c>
      <c r="J222" s="17">
        <f t="shared" si="10"/>
        <v>0.15989220750056141</v>
      </c>
      <c r="K222" s="15">
        <v>31171</v>
      </c>
      <c r="L222" s="15">
        <v>30565</v>
      </c>
      <c r="M222" s="15">
        <v>23</v>
      </c>
      <c r="N222" s="2" t="s">
        <v>36</v>
      </c>
      <c r="O222" s="2" t="s">
        <v>22</v>
      </c>
      <c r="P222" s="2" t="s">
        <v>43</v>
      </c>
      <c r="V222" s="39"/>
    </row>
    <row r="223" spans="1:22" ht="14.25" customHeight="1" x14ac:dyDescent="0.3">
      <c r="A223" s="2" t="s">
        <v>259</v>
      </c>
      <c r="B223" s="2" t="s">
        <v>33</v>
      </c>
      <c r="C223" s="12">
        <v>45573</v>
      </c>
      <c r="D223" s="2" t="s">
        <v>15</v>
      </c>
      <c r="E223" s="2" t="s">
        <v>16</v>
      </c>
      <c r="F223" s="15">
        <v>1814</v>
      </c>
      <c r="G223" s="15">
        <v>653</v>
      </c>
      <c r="H223" s="15">
        <v>363</v>
      </c>
      <c r="I223" s="15">
        <f t="shared" si="9"/>
        <v>2830</v>
      </c>
      <c r="J223" s="17">
        <f t="shared" si="10"/>
        <v>0.11143487163332809</v>
      </c>
      <c r="K223" s="15">
        <v>25396</v>
      </c>
      <c r="L223" s="15">
        <v>25286</v>
      </c>
      <c r="M223" s="15">
        <v>39</v>
      </c>
      <c r="N223" s="2" t="s">
        <v>45</v>
      </c>
      <c r="O223" s="2"/>
      <c r="P223" s="2" t="s">
        <v>18</v>
      </c>
      <c r="V223" s="39"/>
    </row>
    <row r="224" spans="1:22" ht="14.25" customHeight="1" x14ac:dyDescent="0.3">
      <c r="A224" s="2" t="s">
        <v>260</v>
      </c>
      <c r="B224" s="2" t="s">
        <v>14</v>
      </c>
      <c r="C224" s="12">
        <v>45608</v>
      </c>
      <c r="D224" s="2" t="s">
        <v>39</v>
      </c>
      <c r="E224" s="2" t="s">
        <v>40</v>
      </c>
      <c r="F224" s="15">
        <v>3338</v>
      </c>
      <c r="G224" s="15">
        <v>277</v>
      </c>
      <c r="H224" s="15">
        <v>118</v>
      </c>
      <c r="I224" s="15">
        <f t="shared" si="9"/>
        <v>3733</v>
      </c>
      <c r="J224" s="17">
        <f t="shared" si="10"/>
        <v>6.2129685107516146E-2</v>
      </c>
      <c r="K224" s="15">
        <v>60084</v>
      </c>
      <c r="L224" s="15">
        <v>59842</v>
      </c>
      <c r="M224" s="15">
        <v>252</v>
      </c>
      <c r="N224" s="2" t="s">
        <v>45</v>
      </c>
      <c r="O224" s="2"/>
      <c r="P224" s="2" t="s">
        <v>18</v>
      </c>
      <c r="V224" s="39"/>
    </row>
    <row r="225" spans="1:22" ht="14.25" customHeight="1" x14ac:dyDescent="0.3">
      <c r="A225" s="2" t="s">
        <v>261</v>
      </c>
      <c r="B225" s="2" t="s">
        <v>33</v>
      </c>
      <c r="C225" s="12">
        <v>45790</v>
      </c>
      <c r="D225" s="2" t="s">
        <v>39</v>
      </c>
      <c r="E225" s="2" t="s">
        <v>40</v>
      </c>
      <c r="F225" s="15">
        <v>602</v>
      </c>
      <c r="G225" s="15">
        <v>594</v>
      </c>
      <c r="H225" s="15">
        <v>156</v>
      </c>
      <c r="I225" s="15">
        <f t="shared" si="9"/>
        <v>1352</v>
      </c>
      <c r="J225" s="17">
        <f t="shared" si="10"/>
        <v>0.32083531086853345</v>
      </c>
      <c r="K225" s="15">
        <v>4214</v>
      </c>
      <c r="L225" s="15">
        <v>3363</v>
      </c>
      <c r="M225" s="15">
        <v>164</v>
      </c>
      <c r="N225" s="2" t="s">
        <v>17</v>
      </c>
      <c r="O225" s="2"/>
      <c r="P225" s="2" t="s">
        <v>31</v>
      </c>
      <c r="V225" s="39"/>
    </row>
    <row r="226" spans="1:22" ht="14.25" customHeight="1" x14ac:dyDescent="0.3">
      <c r="A226" s="2" t="s">
        <v>262</v>
      </c>
      <c r="B226" s="2" t="s">
        <v>14</v>
      </c>
      <c r="C226" s="12">
        <v>45463</v>
      </c>
      <c r="D226" s="2" t="s">
        <v>34</v>
      </c>
      <c r="E226" s="2" t="s">
        <v>35</v>
      </c>
      <c r="F226" s="15">
        <v>4672</v>
      </c>
      <c r="G226" s="15">
        <v>325</v>
      </c>
      <c r="H226" s="15">
        <v>32</v>
      </c>
      <c r="I226" s="15">
        <f t="shared" si="9"/>
        <v>5029</v>
      </c>
      <c r="J226" s="17">
        <f t="shared" si="10"/>
        <v>5.6653298485940883E-2</v>
      </c>
      <c r="K226" s="15">
        <v>88768</v>
      </c>
      <c r="L226" s="15">
        <v>87833</v>
      </c>
      <c r="M226" s="15">
        <v>118</v>
      </c>
      <c r="N226" s="2" t="s">
        <v>54</v>
      </c>
      <c r="O226" s="2" t="s">
        <v>17</v>
      </c>
      <c r="P226" s="2" t="s">
        <v>31</v>
      </c>
      <c r="V226" s="39"/>
    </row>
    <row r="227" spans="1:22" ht="14.25" customHeight="1" x14ac:dyDescent="0.3">
      <c r="A227" s="2" t="s">
        <v>263</v>
      </c>
      <c r="B227" s="2" t="s">
        <v>27</v>
      </c>
      <c r="C227" s="12">
        <v>45511</v>
      </c>
      <c r="D227" s="2" t="s">
        <v>34</v>
      </c>
      <c r="E227" s="2" t="s">
        <v>35</v>
      </c>
      <c r="F227" s="15">
        <v>1741</v>
      </c>
      <c r="G227" s="15">
        <v>164</v>
      </c>
      <c r="H227" s="15">
        <v>318</v>
      </c>
      <c r="I227" s="15">
        <f t="shared" si="9"/>
        <v>2223</v>
      </c>
      <c r="J227" s="17">
        <f t="shared" si="10"/>
        <v>0.25537047673750718</v>
      </c>
      <c r="K227" s="15">
        <v>8705</v>
      </c>
      <c r="L227" s="15">
        <v>8272</v>
      </c>
      <c r="M227" s="15">
        <v>121</v>
      </c>
      <c r="N227" s="2" t="s">
        <v>17</v>
      </c>
      <c r="O227" s="2"/>
      <c r="P227" s="2" t="s">
        <v>23</v>
      </c>
      <c r="V227" s="39"/>
    </row>
    <row r="228" spans="1:22" ht="14.25" customHeight="1" x14ac:dyDescent="0.3">
      <c r="A228" s="2" t="s">
        <v>264</v>
      </c>
      <c r="B228" s="2" t="s">
        <v>27</v>
      </c>
      <c r="C228" s="12">
        <v>45455</v>
      </c>
      <c r="D228" s="2" t="s">
        <v>20</v>
      </c>
      <c r="E228" s="2" t="s">
        <v>21</v>
      </c>
      <c r="F228" s="15">
        <v>246</v>
      </c>
      <c r="G228" s="15">
        <v>149</v>
      </c>
      <c r="H228" s="15">
        <v>130</v>
      </c>
      <c r="I228" s="15">
        <f t="shared" si="9"/>
        <v>525</v>
      </c>
      <c r="J228" s="17">
        <f t="shared" si="10"/>
        <v>0.11232349165596919</v>
      </c>
      <c r="K228" s="15">
        <v>4674</v>
      </c>
      <c r="L228" s="15">
        <v>4390</v>
      </c>
      <c r="M228" s="15">
        <v>217</v>
      </c>
      <c r="N228" s="2" t="s">
        <v>36</v>
      </c>
      <c r="O228" s="2" t="s">
        <v>54</v>
      </c>
      <c r="P228" s="2" t="s">
        <v>23</v>
      </c>
      <c r="V228" s="39"/>
    </row>
    <row r="229" spans="1:22" ht="14.25" customHeight="1" x14ac:dyDescent="0.3">
      <c r="A229" s="2" t="s">
        <v>265</v>
      </c>
      <c r="B229" s="2" t="s">
        <v>27</v>
      </c>
      <c r="C229" s="12">
        <v>45474</v>
      </c>
      <c r="D229" s="2" t="s">
        <v>28</v>
      </c>
      <c r="E229" s="2" t="s">
        <v>29</v>
      </c>
      <c r="F229" s="15">
        <v>4808</v>
      </c>
      <c r="G229" s="15">
        <v>772</v>
      </c>
      <c r="H229" s="15">
        <v>320</v>
      </c>
      <c r="I229" s="15">
        <f t="shared" si="9"/>
        <v>5900</v>
      </c>
      <c r="J229" s="17">
        <f t="shared" si="10"/>
        <v>8.1808097615085965E-2</v>
      </c>
      <c r="K229" s="15">
        <v>72120</v>
      </c>
      <c r="L229" s="15">
        <v>71696</v>
      </c>
      <c r="M229" s="15">
        <v>195</v>
      </c>
      <c r="N229" s="2" t="s">
        <v>36</v>
      </c>
      <c r="O229" s="2" t="s">
        <v>17</v>
      </c>
      <c r="P229" s="2" t="s">
        <v>43</v>
      </c>
      <c r="V229" s="39"/>
    </row>
    <row r="230" spans="1:22" ht="14.25" customHeight="1" x14ac:dyDescent="0.3">
      <c r="A230" s="2" t="s">
        <v>266</v>
      </c>
      <c r="B230" s="2" t="s">
        <v>27</v>
      </c>
      <c r="C230" s="12">
        <v>45476</v>
      </c>
      <c r="D230" s="2" t="s">
        <v>34</v>
      </c>
      <c r="E230" s="2" t="s">
        <v>35</v>
      </c>
      <c r="F230" s="15">
        <v>4799</v>
      </c>
      <c r="G230" s="15">
        <v>694</v>
      </c>
      <c r="H230" s="15">
        <v>289</v>
      </c>
      <c r="I230" s="15">
        <f t="shared" si="9"/>
        <v>5782</v>
      </c>
      <c r="J230" s="17">
        <f t="shared" si="10"/>
        <v>0.13387048227640017</v>
      </c>
      <c r="K230" s="15">
        <v>43191</v>
      </c>
      <c r="L230" s="15">
        <v>42228</v>
      </c>
      <c r="M230" s="15">
        <v>118</v>
      </c>
      <c r="N230" s="2" t="s">
        <v>36</v>
      </c>
      <c r="O230" s="2"/>
      <c r="P230" s="2" t="s">
        <v>23</v>
      </c>
      <c r="V230" s="39"/>
    </row>
    <row r="231" spans="1:22" ht="14.25" customHeight="1" x14ac:dyDescent="0.3">
      <c r="A231" s="2" t="s">
        <v>267</v>
      </c>
      <c r="B231" s="2" t="s">
        <v>33</v>
      </c>
      <c r="C231" s="12">
        <v>45488</v>
      </c>
      <c r="D231" s="2" t="s">
        <v>15</v>
      </c>
      <c r="E231" s="2" t="s">
        <v>16</v>
      </c>
      <c r="F231" s="15">
        <v>3663</v>
      </c>
      <c r="G231" s="15">
        <v>17</v>
      </c>
      <c r="H231" s="15">
        <v>295</v>
      </c>
      <c r="I231" s="15">
        <f t="shared" si="9"/>
        <v>3975</v>
      </c>
      <c r="J231" s="17">
        <f t="shared" si="10"/>
        <v>7.7512577512577507E-2</v>
      </c>
      <c r="K231" s="15">
        <v>51282</v>
      </c>
      <c r="L231" s="15">
        <v>50567</v>
      </c>
      <c r="M231" s="15">
        <v>84</v>
      </c>
      <c r="N231" s="2" t="s">
        <v>17</v>
      </c>
      <c r="O231" s="2"/>
      <c r="P231" s="2" t="s">
        <v>18</v>
      </c>
      <c r="V231" s="39"/>
    </row>
    <row r="232" spans="1:22" ht="14.25" customHeight="1" x14ac:dyDescent="0.3">
      <c r="A232" s="2" t="s">
        <v>268</v>
      </c>
      <c r="B232" s="2" t="s">
        <v>27</v>
      </c>
      <c r="C232" s="12">
        <v>45778</v>
      </c>
      <c r="D232" s="2" t="s">
        <v>20</v>
      </c>
      <c r="E232" s="2" t="s">
        <v>21</v>
      </c>
      <c r="F232" s="15">
        <v>1430</v>
      </c>
      <c r="G232" s="15">
        <v>376</v>
      </c>
      <c r="H232" s="15">
        <v>33</v>
      </c>
      <c r="I232" s="15">
        <f t="shared" si="9"/>
        <v>1839</v>
      </c>
      <c r="J232" s="17">
        <f t="shared" si="10"/>
        <v>8.5734265734265735E-2</v>
      </c>
      <c r="K232" s="15">
        <v>21450</v>
      </c>
      <c r="L232" s="15">
        <v>20509</v>
      </c>
      <c r="M232" s="15">
        <v>251</v>
      </c>
      <c r="N232" s="2" t="s">
        <v>54</v>
      </c>
      <c r="O232" s="2"/>
      <c r="P232" s="2" t="s">
        <v>31</v>
      </c>
      <c r="V232" s="39"/>
    </row>
    <row r="233" spans="1:22" ht="14.25" customHeight="1" x14ac:dyDescent="0.3">
      <c r="A233" s="2" t="s">
        <v>269</v>
      </c>
      <c r="B233" s="2" t="s">
        <v>14</v>
      </c>
      <c r="C233" s="12">
        <v>45776</v>
      </c>
      <c r="D233" s="2" t="s">
        <v>28</v>
      </c>
      <c r="E233" s="2" t="s">
        <v>29</v>
      </c>
      <c r="F233" s="15">
        <v>249</v>
      </c>
      <c r="G233" s="15">
        <v>592</v>
      </c>
      <c r="H233" s="15">
        <v>230</v>
      </c>
      <c r="I233" s="15">
        <f t="shared" si="9"/>
        <v>1071</v>
      </c>
      <c r="J233" s="17">
        <f t="shared" si="10"/>
        <v>0.7168674698795181</v>
      </c>
      <c r="K233" s="15">
        <v>1494</v>
      </c>
      <c r="L233" s="15">
        <v>1044</v>
      </c>
      <c r="M233" s="15">
        <v>201</v>
      </c>
      <c r="N233" s="2" t="s">
        <v>22</v>
      </c>
      <c r="O233" s="2" t="s">
        <v>36</v>
      </c>
      <c r="P233" s="2" t="s">
        <v>43</v>
      </c>
      <c r="V233" s="39"/>
    </row>
    <row r="234" spans="1:22" ht="14.25" customHeight="1" x14ac:dyDescent="0.3">
      <c r="A234" s="2" t="s">
        <v>270</v>
      </c>
      <c r="B234" s="2" t="s">
        <v>33</v>
      </c>
      <c r="C234" s="12">
        <v>45724</v>
      </c>
      <c r="D234" s="2" t="s">
        <v>39</v>
      </c>
      <c r="E234" s="2" t="s">
        <v>40</v>
      </c>
      <c r="F234" s="15">
        <v>2382</v>
      </c>
      <c r="G234" s="15">
        <v>265</v>
      </c>
      <c r="H234" s="15">
        <v>134</v>
      </c>
      <c r="I234" s="15">
        <f t="shared" si="9"/>
        <v>2781</v>
      </c>
      <c r="J234" s="17">
        <f t="shared" si="10"/>
        <v>7.2969143576826198E-2</v>
      </c>
      <c r="K234" s="15">
        <v>38112</v>
      </c>
      <c r="L234" s="15">
        <v>37437</v>
      </c>
      <c r="M234" s="15">
        <v>249</v>
      </c>
      <c r="N234" s="2" t="s">
        <v>54</v>
      </c>
      <c r="O234" s="2" t="s">
        <v>36</v>
      </c>
      <c r="P234" s="2" t="s">
        <v>23</v>
      </c>
      <c r="V234" s="39"/>
    </row>
    <row r="235" spans="1:22" ht="14.25" customHeight="1" x14ac:dyDescent="0.3">
      <c r="A235" s="2" t="s">
        <v>271</v>
      </c>
      <c r="B235" s="2" t="s">
        <v>33</v>
      </c>
      <c r="C235" s="12">
        <v>45444</v>
      </c>
      <c r="D235" s="2" t="s">
        <v>20</v>
      </c>
      <c r="E235" s="2" t="s">
        <v>21</v>
      </c>
      <c r="F235" s="15">
        <v>1272</v>
      </c>
      <c r="G235" s="15">
        <v>465</v>
      </c>
      <c r="H235" s="15">
        <v>99</v>
      </c>
      <c r="I235" s="15">
        <f t="shared" si="9"/>
        <v>1836</v>
      </c>
      <c r="J235" s="17">
        <f t="shared" si="10"/>
        <v>7.5968222442899705E-2</v>
      </c>
      <c r="K235" s="15">
        <v>24168</v>
      </c>
      <c r="L235" s="15">
        <v>23719</v>
      </c>
      <c r="M235" s="15">
        <v>42</v>
      </c>
      <c r="N235" s="2" t="s">
        <v>22</v>
      </c>
      <c r="O235" s="2" t="s">
        <v>54</v>
      </c>
      <c r="P235" s="2" t="s">
        <v>23</v>
      </c>
      <c r="V235" s="39"/>
    </row>
    <row r="236" spans="1:22" ht="14.25" customHeight="1" x14ac:dyDescent="0.3">
      <c r="A236" s="2" t="s">
        <v>272</v>
      </c>
      <c r="B236" s="2" t="s">
        <v>33</v>
      </c>
      <c r="C236" s="12">
        <v>45648</v>
      </c>
      <c r="D236" s="2" t="s">
        <v>39</v>
      </c>
      <c r="E236" s="2" t="s">
        <v>40</v>
      </c>
      <c r="F236" s="15">
        <v>3196</v>
      </c>
      <c r="G236" s="15">
        <v>941</v>
      </c>
      <c r="H236" s="15">
        <v>376</v>
      </c>
      <c r="I236" s="15">
        <f t="shared" si="9"/>
        <v>4513</v>
      </c>
      <c r="J236" s="17">
        <f t="shared" si="10"/>
        <v>0.1283706906360223</v>
      </c>
      <c r="K236" s="15">
        <v>35156</v>
      </c>
      <c r="L236" s="15">
        <v>34444</v>
      </c>
      <c r="M236" s="15">
        <v>241</v>
      </c>
      <c r="N236" s="2" t="s">
        <v>45</v>
      </c>
      <c r="O236" s="2" t="s">
        <v>36</v>
      </c>
      <c r="P236" s="2" t="s">
        <v>43</v>
      </c>
      <c r="V236" s="39"/>
    </row>
    <row r="237" spans="1:22" ht="14.25" customHeight="1" x14ac:dyDescent="0.3">
      <c r="A237" s="2" t="s">
        <v>273</v>
      </c>
      <c r="B237" s="2" t="s">
        <v>33</v>
      </c>
      <c r="C237" s="12">
        <v>45523</v>
      </c>
      <c r="D237" s="2" t="s">
        <v>20</v>
      </c>
      <c r="E237" s="2" t="s">
        <v>21</v>
      </c>
      <c r="F237" s="15">
        <v>1257</v>
      </c>
      <c r="G237" s="15">
        <v>19</v>
      </c>
      <c r="H237" s="15">
        <v>351</v>
      </c>
      <c r="I237" s="15">
        <f t="shared" si="9"/>
        <v>1627</v>
      </c>
      <c r="J237" s="17">
        <f t="shared" si="10"/>
        <v>0.12943516308671441</v>
      </c>
      <c r="K237" s="15">
        <v>12570</v>
      </c>
      <c r="L237" s="15">
        <v>11660</v>
      </c>
      <c r="M237" s="15">
        <v>194</v>
      </c>
      <c r="N237" s="2" t="s">
        <v>45</v>
      </c>
      <c r="O237" s="2"/>
      <c r="P237" s="2" t="s">
        <v>18</v>
      </c>
      <c r="V237" s="39"/>
    </row>
    <row r="238" spans="1:22" ht="14.25" customHeight="1" x14ac:dyDescent="0.3">
      <c r="A238" s="2" t="s">
        <v>274</v>
      </c>
      <c r="B238" s="2" t="s">
        <v>27</v>
      </c>
      <c r="C238" s="12">
        <v>45587</v>
      </c>
      <c r="D238" s="2" t="s">
        <v>28</v>
      </c>
      <c r="E238" s="2" t="s">
        <v>29</v>
      </c>
      <c r="F238" s="15">
        <v>3770</v>
      </c>
      <c r="G238" s="15">
        <v>917</v>
      </c>
      <c r="H238" s="15">
        <v>129</v>
      </c>
      <c r="I238" s="15">
        <f t="shared" si="9"/>
        <v>4816</v>
      </c>
      <c r="J238" s="17">
        <f t="shared" si="10"/>
        <v>6.7234398994834563E-2</v>
      </c>
      <c r="K238" s="15">
        <v>71630</v>
      </c>
      <c r="L238" s="15">
        <v>71322</v>
      </c>
      <c r="M238" s="15">
        <v>76</v>
      </c>
      <c r="N238" s="2" t="s">
        <v>17</v>
      </c>
      <c r="O238" s="2" t="s">
        <v>36</v>
      </c>
      <c r="P238" s="2" t="s">
        <v>43</v>
      </c>
      <c r="V238" s="39"/>
    </row>
    <row r="239" spans="1:22" ht="14.25" customHeight="1" x14ac:dyDescent="0.3">
      <c r="A239" s="2" t="s">
        <v>275</v>
      </c>
      <c r="B239" s="2" t="s">
        <v>14</v>
      </c>
      <c r="C239" s="12">
        <v>45489</v>
      </c>
      <c r="D239" s="2" t="s">
        <v>20</v>
      </c>
      <c r="E239" s="2" t="s">
        <v>21</v>
      </c>
      <c r="F239" s="15">
        <v>4725</v>
      </c>
      <c r="G239" s="15">
        <v>400</v>
      </c>
      <c r="H239" s="15">
        <v>362</v>
      </c>
      <c r="I239" s="15">
        <f t="shared" si="9"/>
        <v>5487</v>
      </c>
      <c r="J239" s="17">
        <f t="shared" si="10"/>
        <v>7.2579365079365077E-2</v>
      </c>
      <c r="K239" s="15">
        <v>75600</v>
      </c>
      <c r="L239" s="15">
        <v>74927</v>
      </c>
      <c r="M239" s="15">
        <v>43</v>
      </c>
      <c r="N239" s="2" t="s">
        <v>36</v>
      </c>
      <c r="O239" s="2" t="s">
        <v>22</v>
      </c>
      <c r="P239" s="2" t="s">
        <v>18</v>
      </c>
      <c r="V239" s="39"/>
    </row>
    <row r="240" spans="1:22" ht="14.25" customHeight="1" x14ac:dyDescent="0.3">
      <c r="A240" s="2" t="s">
        <v>276</v>
      </c>
      <c r="B240" s="2" t="s">
        <v>25</v>
      </c>
      <c r="C240" s="12">
        <v>45712</v>
      </c>
      <c r="D240" s="2" t="s">
        <v>20</v>
      </c>
      <c r="E240" s="2" t="s">
        <v>21</v>
      </c>
      <c r="F240" s="15">
        <v>4188</v>
      </c>
      <c r="G240" s="15">
        <v>942</v>
      </c>
      <c r="H240" s="15">
        <v>118</v>
      </c>
      <c r="I240" s="15">
        <f t="shared" si="9"/>
        <v>5248</v>
      </c>
      <c r="J240" s="17">
        <f t="shared" si="10"/>
        <v>0.25062082139446035</v>
      </c>
      <c r="K240" s="15">
        <v>20940</v>
      </c>
      <c r="L240" s="15">
        <v>20471</v>
      </c>
      <c r="M240" s="15">
        <v>102</v>
      </c>
      <c r="N240" s="2" t="s">
        <v>45</v>
      </c>
      <c r="O240" s="2"/>
      <c r="P240" s="2" t="s">
        <v>23</v>
      </c>
      <c r="V240" s="39"/>
    </row>
    <row r="241" spans="1:22" ht="14.25" customHeight="1" x14ac:dyDescent="0.3">
      <c r="A241" s="2" t="s">
        <v>277</v>
      </c>
      <c r="B241" s="2" t="s">
        <v>14</v>
      </c>
      <c r="C241" s="12">
        <v>45530</v>
      </c>
      <c r="D241" s="2" t="s">
        <v>34</v>
      </c>
      <c r="E241" s="2" t="s">
        <v>35</v>
      </c>
      <c r="F241" s="15">
        <v>929</v>
      </c>
      <c r="G241" s="15">
        <v>192</v>
      </c>
      <c r="H241" s="15">
        <v>322</v>
      </c>
      <c r="I241" s="15">
        <f t="shared" si="9"/>
        <v>1443</v>
      </c>
      <c r="J241" s="17">
        <f t="shared" si="10"/>
        <v>8.6293505561535699E-2</v>
      </c>
      <c r="K241" s="15">
        <v>16722</v>
      </c>
      <c r="L241" s="15">
        <v>15996</v>
      </c>
      <c r="M241" s="15">
        <v>145</v>
      </c>
      <c r="N241" s="2" t="s">
        <v>22</v>
      </c>
      <c r="O241" s="2"/>
      <c r="P241" s="2" t="s">
        <v>31</v>
      </c>
      <c r="V241" s="39"/>
    </row>
    <row r="242" spans="1:22" ht="14.25" customHeight="1" x14ac:dyDescent="0.3">
      <c r="A242" s="2" t="s">
        <v>278</v>
      </c>
      <c r="B242" s="2" t="s">
        <v>33</v>
      </c>
      <c r="C242" s="12">
        <v>45675</v>
      </c>
      <c r="D242" s="2" t="s">
        <v>28</v>
      </c>
      <c r="E242" s="2" t="s">
        <v>29</v>
      </c>
      <c r="F242" s="15">
        <v>4321</v>
      </c>
      <c r="G242" s="15">
        <v>874</v>
      </c>
      <c r="H242" s="15">
        <v>172</v>
      </c>
      <c r="I242" s="15">
        <f t="shared" si="9"/>
        <v>5367</v>
      </c>
      <c r="J242" s="17">
        <f t="shared" si="10"/>
        <v>0.17743908486792079</v>
      </c>
      <c r="K242" s="15">
        <v>30247</v>
      </c>
      <c r="L242" s="15">
        <v>29254</v>
      </c>
      <c r="M242" s="15">
        <v>122</v>
      </c>
      <c r="N242" s="2" t="s">
        <v>17</v>
      </c>
      <c r="O242" s="2" t="s">
        <v>22</v>
      </c>
      <c r="P242" s="2" t="s">
        <v>31</v>
      </c>
      <c r="V242" s="39"/>
    </row>
    <row r="243" spans="1:22" ht="14.25" customHeight="1" x14ac:dyDescent="0.3">
      <c r="A243" s="2" t="s">
        <v>279</v>
      </c>
      <c r="B243" s="2" t="s">
        <v>33</v>
      </c>
      <c r="C243" s="12">
        <v>45480</v>
      </c>
      <c r="D243" s="2" t="s">
        <v>15</v>
      </c>
      <c r="E243" s="2" t="s">
        <v>16</v>
      </c>
      <c r="F243" s="15">
        <v>4767</v>
      </c>
      <c r="G243" s="15">
        <v>190</v>
      </c>
      <c r="H243" s="15">
        <v>340</v>
      </c>
      <c r="I243" s="15">
        <f t="shared" si="9"/>
        <v>5297</v>
      </c>
      <c r="J243" s="17">
        <f t="shared" si="10"/>
        <v>0.18519683938186141</v>
      </c>
      <c r="K243" s="15">
        <v>28602</v>
      </c>
      <c r="L243" s="15">
        <v>28044</v>
      </c>
      <c r="M243" s="15">
        <v>210</v>
      </c>
      <c r="N243" s="2" t="s">
        <v>54</v>
      </c>
      <c r="O243" s="2"/>
      <c r="P243" s="2" t="s">
        <v>43</v>
      </c>
      <c r="V243" s="39"/>
    </row>
    <row r="244" spans="1:22" ht="14.25" customHeight="1" x14ac:dyDescent="0.3">
      <c r="A244" s="2" t="s">
        <v>280</v>
      </c>
      <c r="B244" s="2" t="s">
        <v>14</v>
      </c>
      <c r="C244" s="12">
        <v>45722</v>
      </c>
      <c r="D244" s="2" t="s">
        <v>39</v>
      </c>
      <c r="E244" s="2" t="s">
        <v>40</v>
      </c>
      <c r="F244" s="15">
        <v>3592</v>
      </c>
      <c r="G244" s="15">
        <v>911</v>
      </c>
      <c r="H244" s="15">
        <v>375</v>
      </c>
      <c r="I244" s="15">
        <f t="shared" si="9"/>
        <v>4878</v>
      </c>
      <c r="J244" s="17">
        <f t="shared" si="10"/>
        <v>9.7001272669424113E-2</v>
      </c>
      <c r="K244" s="15">
        <v>50288</v>
      </c>
      <c r="L244" s="15">
        <v>49490</v>
      </c>
      <c r="M244" s="15">
        <v>32</v>
      </c>
      <c r="N244" s="2" t="s">
        <v>45</v>
      </c>
      <c r="O244" s="2"/>
      <c r="P244" s="2" t="s">
        <v>23</v>
      </c>
      <c r="V244" s="39"/>
    </row>
    <row r="245" spans="1:22" ht="14.25" customHeight="1" x14ac:dyDescent="0.3">
      <c r="A245" s="2" t="s">
        <v>281</v>
      </c>
      <c r="B245" s="2" t="s">
        <v>25</v>
      </c>
      <c r="C245" s="12">
        <v>45590</v>
      </c>
      <c r="D245" s="2" t="s">
        <v>50</v>
      </c>
      <c r="E245" s="2" t="s">
        <v>51</v>
      </c>
      <c r="F245" s="15">
        <v>4661</v>
      </c>
      <c r="G245" s="15">
        <v>935</v>
      </c>
      <c r="H245" s="15">
        <v>433</v>
      </c>
      <c r="I245" s="15">
        <f t="shared" si="9"/>
        <v>6029</v>
      </c>
      <c r="J245" s="17">
        <f t="shared" si="10"/>
        <v>0.25869984981763572</v>
      </c>
      <c r="K245" s="15">
        <v>23305</v>
      </c>
      <c r="L245" s="15">
        <v>22583</v>
      </c>
      <c r="M245" s="15">
        <v>63</v>
      </c>
      <c r="N245" s="2" t="s">
        <v>45</v>
      </c>
      <c r="O245" s="2" t="s">
        <v>54</v>
      </c>
      <c r="P245" s="2" t="s">
        <v>18</v>
      </c>
      <c r="V245" s="39"/>
    </row>
    <row r="246" spans="1:22" ht="14.25" customHeight="1" x14ac:dyDescent="0.3">
      <c r="A246" s="2" t="s">
        <v>282</v>
      </c>
      <c r="B246" s="2" t="s">
        <v>33</v>
      </c>
      <c r="C246" s="12">
        <v>45669</v>
      </c>
      <c r="D246" s="2" t="s">
        <v>15</v>
      </c>
      <c r="E246" s="2" t="s">
        <v>16</v>
      </c>
      <c r="F246" s="15">
        <v>4134</v>
      </c>
      <c r="G246" s="15">
        <v>824</v>
      </c>
      <c r="H246" s="15">
        <v>99</v>
      </c>
      <c r="I246" s="15">
        <f t="shared" si="9"/>
        <v>5057</v>
      </c>
      <c r="J246" s="17">
        <f t="shared" si="10"/>
        <v>0.12232704402515723</v>
      </c>
      <c r="K246" s="15">
        <v>41340</v>
      </c>
      <c r="L246" s="15">
        <v>41050</v>
      </c>
      <c r="M246" s="15">
        <v>177</v>
      </c>
      <c r="N246" s="2" t="s">
        <v>22</v>
      </c>
      <c r="O246" s="2"/>
      <c r="P246" s="2" t="s">
        <v>23</v>
      </c>
      <c r="V246" s="39"/>
    </row>
    <row r="247" spans="1:22" ht="14.25" customHeight="1" x14ac:dyDescent="0.3">
      <c r="A247" s="2" t="s">
        <v>283</v>
      </c>
      <c r="B247" s="2" t="s">
        <v>33</v>
      </c>
      <c r="C247" s="12">
        <v>45576</v>
      </c>
      <c r="D247" s="2" t="s">
        <v>39</v>
      </c>
      <c r="E247" s="2" t="s">
        <v>40</v>
      </c>
      <c r="F247" s="15">
        <v>400</v>
      </c>
      <c r="G247" s="15">
        <v>680</v>
      </c>
      <c r="H247" s="15">
        <v>434</v>
      </c>
      <c r="I247" s="15">
        <f t="shared" si="9"/>
        <v>1514</v>
      </c>
      <c r="J247" s="17">
        <f t="shared" si="10"/>
        <v>0.23656250000000001</v>
      </c>
      <c r="K247" s="15">
        <v>6400</v>
      </c>
      <c r="L247" s="15">
        <v>5472</v>
      </c>
      <c r="M247" s="15">
        <v>160</v>
      </c>
      <c r="N247" s="2" t="s">
        <v>17</v>
      </c>
      <c r="O247" s="2" t="s">
        <v>36</v>
      </c>
      <c r="P247" s="2" t="s">
        <v>23</v>
      </c>
      <c r="V247" s="39"/>
    </row>
    <row r="248" spans="1:22" ht="14.25" customHeight="1" x14ac:dyDescent="0.3">
      <c r="A248" s="2" t="s">
        <v>284</v>
      </c>
      <c r="B248" s="2" t="s">
        <v>33</v>
      </c>
      <c r="C248" s="12">
        <v>45531</v>
      </c>
      <c r="D248" s="2" t="s">
        <v>15</v>
      </c>
      <c r="E248" s="2" t="s">
        <v>16</v>
      </c>
      <c r="F248" s="15">
        <v>3960</v>
      </c>
      <c r="G248" s="15">
        <v>266</v>
      </c>
      <c r="H248" s="15">
        <v>8</v>
      </c>
      <c r="I248" s="15">
        <f t="shared" si="9"/>
        <v>4234</v>
      </c>
      <c r="J248" s="17">
        <f t="shared" si="10"/>
        <v>0.11879910213243547</v>
      </c>
      <c r="K248" s="15">
        <v>35640</v>
      </c>
      <c r="L248" s="15">
        <v>34850</v>
      </c>
      <c r="M248" s="15">
        <v>208</v>
      </c>
      <c r="N248" s="2" t="s">
        <v>36</v>
      </c>
      <c r="O248" s="2" t="s">
        <v>22</v>
      </c>
      <c r="P248" s="2" t="s">
        <v>43</v>
      </c>
      <c r="V248" s="39"/>
    </row>
    <row r="249" spans="1:22" ht="14.25" customHeight="1" x14ac:dyDescent="0.3">
      <c r="A249" s="2" t="s">
        <v>285</v>
      </c>
      <c r="B249" s="2" t="s">
        <v>33</v>
      </c>
      <c r="C249" s="12">
        <v>45690</v>
      </c>
      <c r="D249" s="2" t="s">
        <v>28</v>
      </c>
      <c r="E249" s="2" t="s">
        <v>29</v>
      </c>
      <c r="F249" s="15">
        <v>886</v>
      </c>
      <c r="G249" s="15">
        <v>126</v>
      </c>
      <c r="H249" s="15">
        <v>153</v>
      </c>
      <c r="I249" s="15">
        <f t="shared" si="9"/>
        <v>1165</v>
      </c>
      <c r="J249" s="17">
        <f t="shared" si="10"/>
        <v>0.26297968397291194</v>
      </c>
      <c r="K249" s="15">
        <v>4430</v>
      </c>
      <c r="L249" s="15">
        <v>4037</v>
      </c>
      <c r="M249" s="15">
        <v>212</v>
      </c>
      <c r="N249" s="2" t="s">
        <v>17</v>
      </c>
      <c r="O249" s="2"/>
      <c r="P249" s="2" t="s">
        <v>31</v>
      </c>
      <c r="V249" s="39"/>
    </row>
    <row r="250" spans="1:22" ht="14.25" customHeight="1" x14ac:dyDescent="0.3">
      <c r="A250" s="2" t="s">
        <v>286</v>
      </c>
      <c r="B250" s="2" t="s">
        <v>14</v>
      </c>
      <c r="C250" s="12">
        <v>45491</v>
      </c>
      <c r="D250" s="2" t="s">
        <v>39</v>
      </c>
      <c r="E250" s="2" t="s">
        <v>40</v>
      </c>
      <c r="F250" s="15">
        <v>827</v>
      </c>
      <c r="G250" s="15">
        <v>77</v>
      </c>
      <c r="H250" s="15">
        <v>402</v>
      </c>
      <c r="I250" s="15">
        <f t="shared" si="9"/>
        <v>1306</v>
      </c>
      <c r="J250" s="17">
        <f t="shared" si="10"/>
        <v>8.7733440816874911E-2</v>
      </c>
      <c r="K250" s="15">
        <v>14886</v>
      </c>
      <c r="L250" s="15">
        <v>14129</v>
      </c>
      <c r="M250" s="15">
        <v>254</v>
      </c>
      <c r="N250" s="2" t="s">
        <v>45</v>
      </c>
      <c r="O250" s="2"/>
      <c r="P250" s="2" t="s">
        <v>23</v>
      </c>
      <c r="V250" s="39"/>
    </row>
    <row r="251" spans="1:22" ht="14.25" customHeight="1" x14ac:dyDescent="0.3">
      <c r="A251" s="2" t="s">
        <v>287</v>
      </c>
      <c r="B251" s="2" t="s">
        <v>33</v>
      </c>
      <c r="C251" s="12">
        <v>45465</v>
      </c>
      <c r="D251" s="2" t="s">
        <v>15</v>
      </c>
      <c r="E251" s="2" t="s">
        <v>16</v>
      </c>
      <c r="F251" s="15">
        <v>3813</v>
      </c>
      <c r="G251" s="15">
        <v>935</v>
      </c>
      <c r="H251" s="15">
        <v>274</v>
      </c>
      <c r="I251" s="15">
        <f t="shared" si="9"/>
        <v>5022</v>
      </c>
      <c r="J251" s="17">
        <f t="shared" si="10"/>
        <v>7.3170731707317069E-2</v>
      </c>
      <c r="K251" s="15">
        <v>68634</v>
      </c>
      <c r="L251" s="15">
        <v>68488</v>
      </c>
      <c r="M251" s="15">
        <v>251</v>
      </c>
      <c r="N251" s="2" t="s">
        <v>54</v>
      </c>
      <c r="O251" s="2" t="s">
        <v>36</v>
      </c>
      <c r="P251" s="2" t="s">
        <v>18</v>
      </c>
      <c r="V251" s="39"/>
    </row>
    <row r="252" spans="1:22" ht="14.25" customHeight="1" x14ac:dyDescent="0.3">
      <c r="A252" s="2" t="s">
        <v>288</v>
      </c>
      <c r="B252" s="2" t="s">
        <v>27</v>
      </c>
      <c r="C252" s="12">
        <v>45743</v>
      </c>
      <c r="D252" s="2" t="s">
        <v>34</v>
      </c>
      <c r="E252" s="2" t="s">
        <v>35</v>
      </c>
      <c r="F252" s="15">
        <v>1377</v>
      </c>
      <c r="G252" s="15">
        <v>796</v>
      </c>
      <c r="H252" s="15">
        <v>387</v>
      </c>
      <c r="I252" s="15">
        <f t="shared" si="9"/>
        <v>2560</v>
      </c>
      <c r="J252" s="17">
        <f t="shared" si="10"/>
        <v>0.11619462599854757</v>
      </c>
      <c r="K252" s="15">
        <v>22032</v>
      </c>
      <c r="L252" s="15">
        <v>21869</v>
      </c>
      <c r="M252" s="15">
        <v>189</v>
      </c>
      <c r="N252" s="2" t="s">
        <v>54</v>
      </c>
      <c r="O252" s="2" t="s">
        <v>22</v>
      </c>
      <c r="P252" s="2" t="s">
        <v>31</v>
      </c>
      <c r="V252" s="39"/>
    </row>
    <row r="253" spans="1:22" ht="14.25" customHeight="1" x14ac:dyDescent="0.3">
      <c r="A253" s="2" t="s">
        <v>289</v>
      </c>
      <c r="B253" s="2" t="s">
        <v>33</v>
      </c>
      <c r="C253" s="12">
        <v>45775</v>
      </c>
      <c r="D253" s="2" t="s">
        <v>34</v>
      </c>
      <c r="E253" s="2" t="s">
        <v>35</v>
      </c>
      <c r="F253" s="15">
        <v>2089</v>
      </c>
      <c r="G253" s="15">
        <v>476</v>
      </c>
      <c r="H253" s="15">
        <v>69</v>
      </c>
      <c r="I253" s="15">
        <f t="shared" si="9"/>
        <v>2634</v>
      </c>
      <c r="J253" s="17">
        <f t="shared" si="10"/>
        <v>0.15761129727142173</v>
      </c>
      <c r="K253" s="15">
        <v>16712</v>
      </c>
      <c r="L253" s="15">
        <v>16309</v>
      </c>
      <c r="M253" s="15">
        <v>64</v>
      </c>
      <c r="N253" s="2" t="s">
        <v>45</v>
      </c>
      <c r="O253" s="2" t="s">
        <v>17</v>
      </c>
      <c r="P253" s="2" t="s">
        <v>18</v>
      </c>
      <c r="V253" s="39"/>
    </row>
    <row r="254" spans="1:22" ht="14.25" customHeight="1" x14ac:dyDescent="0.3">
      <c r="A254" s="2" t="s">
        <v>290</v>
      </c>
      <c r="B254" s="2" t="s">
        <v>14</v>
      </c>
      <c r="C254" s="12">
        <v>45507</v>
      </c>
      <c r="D254" s="2" t="s">
        <v>15</v>
      </c>
      <c r="E254" s="2" t="s">
        <v>16</v>
      </c>
      <c r="F254" s="15">
        <v>3791</v>
      </c>
      <c r="G254" s="15">
        <v>593</v>
      </c>
      <c r="H254" s="15">
        <v>228</v>
      </c>
      <c r="I254" s="15">
        <f t="shared" si="9"/>
        <v>4612</v>
      </c>
      <c r="J254" s="17">
        <f t="shared" si="10"/>
        <v>8.6897539284772202E-2</v>
      </c>
      <c r="K254" s="15">
        <v>53074</v>
      </c>
      <c r="L254" s="15">
        <v>52613</v>
      </c>
      <c r="M254" s="15">
        <v>205</v>
      </c>
      <c r="N254" s="2" t="s">
        <v>45</v>
      </c>
      <c r="O254" s="2" t="s">
        <v>54</v>
      </c>
      <c r="P254" s="2" t="s">
        <v>18</v>
      </c>
      <c r="V254" s="39"/>
    </row>
    <row r="255" spans="1:22" ht="14.25" customHeight="1" x14ac:dyDescent="0.3">
      <c r="A255" s="2" t="s">
        <v>291</v>
      </c>
      <c r="B255" s="2" t="s">
        <v>14</v>
      </c>
      <c r="C255" s="12">
        <v>45671</v>
      </c>
      <c r="D255" s="2" t="s">
        <v>39</v>
      </c>
      <c r="E255" s="2" t="s">
        <v>40</v>
      </c>
      <c r="F255" s="15">
        <v>2692</v>
      </c>
      <c r="G255" s="15">
        <v>115</v>
      </c>
      <c r="H255" s="15">
        <v>64</v>
      </c>
      <c r="I255" s="15">
        <f t="shared" si="9"/>
        <v>2871</v>
      </c>
      <c r="J255" s="17">
        <f t="shared" si="10"/>
        <v>0.13331166419019316</v>
      </c>
      <c r="K255" s="15">
        <v>21536</v>
      </c>
      <c r="L255" s="15">
        <v>21120</v>
      </c>
      <c r="M255" s="15">
        <v>224</v>
      </c>
      <c r="N255" s="2" t="s">
        <v>54</v>
      </c>
      <c r="O255" s="2" t="s">
        <v>36</v>
      </c>
      <c r="P255" s="2" t="s">
        <v>43</v>
      </c>
      <c r="V255" s="39"/>
    </row>
    <row r="256" spans="1:22" ht="14.25" customHeight="1" x14ac:dyDescent="0.3">
      <c r="A256" s="2" t="s">
        <v>292</v>
      </c>
      <c r="B256" s="2" t="s">
        <v>33</v>
      </c>
      <c r="C256" s="12">
        <v>45750</v>
      </c>
      <c r="D256" s="2" t="s">
        <v>28</v>
      </c>
      <c r="E256" s="2" t="s">
        <v>29</v>
      </c>
      <c r="F256" s="15">
        <v>3767</v>
      </c>
      <c r="G256" s="15">
        <v>514</v>
      </c>
      <c r="H256" s="15">
        <v>238</v>
      </c>
      <c r="I256" s="15">
        <f t="shared" si="9"/>
        <v>4519</v>
      </c>
      <c r="J256" s="17">
        <f t="shared" si="10"/>
        <v>0.11996283514733209</v>
      </c>
      <c r="K256" s="15">
        <v>37670</v>
      </c>
      <c r="L256" s="15">
        <v>36807</v>
      </c>
      <c r="M256" s="15">
        <v>226</v>
      </c>
      <c r="N256" s="2" t="s">
        <v>45</v>
      </c>
      <c r="O256" s="2" t="s">
        <v>54</v>
      </c>
      <c r="P256" s="2" t="s">
        <v>18</v>
      </c>
      <c r="V256" s="39"/>
    </row>
    <row r="257" spans="1:22" ht="14.25" customHeight="1" x14ac:dyDescent="0.3">
      <c r="A257" s="2" t="s">
        <v>293</v>
      </c>
      <c r="B257" s="2" t="s">
        <v>25</v>
      </c>
      <c r="C257" s="12">
        <v>45553</v>
      </c>
      <c r="D257" s="2" t="s">
        <v>34</v>
      </c>
      <c r="E257" s="2" t="s">
        <v>35</v>
      </c>
      <c r="F257" s="15">
        <v>2143</v>
      </c>
      <c r="G257" s="15">
        <v>12</v>
      </c>
      <c r="H257" s="15">
        <v>204</v>
      </c>
      <c r="I257" s="15">
        <f t="shared" si="9"/>
        <v>2359</v>
      </c>
      <c r="J257" s="17">
        <f t="shared" si="10"/>
        <v>5.7936488444630008E-2</v>
      </c>
      <c r="K257" s="15">
        <v>40717</v>
      </c>
      <c r="L257" s="15">
        <v>40125</v>
      </c>
      <c r="M257" s="15">
        <v>248</v>
      </c>
      <c r="N257" s="2" t="s">
        <v>54</v>
      </c>
      <c r="O257" s="2" t="s">
        <v>17</v>
      </c>
      <c r="P257" s="2" t="s">
        <v>43</v>
      </c>
      <c r="V257" s="39"/>
    </row>
    <row r="258" spans="1:22" ht="14.25" customHeight="1" x14ac:dyDescent="0.3">
      <c r="A258" s="2" t="s">
        <v>294</v>
      </c>
      <c r="B258" s="2" t="s">
        <v>33</v>
      </c>
      <c r="C258" s="12">
        <v>45753</v>
      </c>
      <c r="D258" s="2" t="s">
        <v>39</v>
      </c>
      <c r="E258" s="2" t="s">
        <v>40</v>
      </c>
      <c r="F258" s="15">
        <v>3090</v>
      </c>
      <c r="G258" s="15">
        <v>697</v>
      </c>
      <c r="H258" s="15">
        <v>164</v>
      </c>
      <c r="I258" s="15">
        <f t="shared" si="9"/>
        <v>3951</v>
      </c>
      <c r="J258" s="17">
        <f t="shared" si="10"/>
        <v>7.9915048543689318E-2</v>
      </c>
      <c r="K258" s="15">
        <v>49440</v>
      </c>
      <c r="L258" s="15">
        <v>48524</v>
      </c>
      <c r="M258" s="15">
        <v>25</v>
      </c>
      <c r="N258" s="2" t="s">
        <v>54</v>
      </c>
      <c r="O258" s="2" t="s">
        <v>45</v>
      </c>
      <c r="P258" s="2" t="s">
        <v>43</v>
      </c>
      <c r="V258" s="39"/>
    </row>
    <row r="259" spans="1:22" ht="14.25" customHeight="1" x14ac:dyDescent="0.3">
      <c r="A259" s="2" t="s">
        <v>295</v>
      </c>
      <c r="B259" s="2" t="s">
        <v>27</v>
      </c>
      <c r="C259" s="12">
        <v>45509</v>
      </c>
      <c r="D259" s="2" t="s">
        <v>28</v>
      </c>
      <c r="E259" s="2" t="s">
        <v>29</v>
      </c>
      <c r="F259" s="15">
        <v>3601</v>
      </c>
      <c r="G259" s="15">
        <v>695</v>
      </c>
      <c r="H259" s="15">
        <v>75</v>
      </c>
      <c r="I259" s="15">
        <f t="shared" ref="I259:I301" si="12">SUM(F259+G259+H259)</f>
        <v>4371</v>
      </c>
      <c r="J259" s="17">
        <f t="shared" ref="J259:J301" si="13">(F259+G259+H259)/K259</f>
        <v>0.2023049153013052</v>
      </c>
      <c r="K259" s="15">
        <v>21606</v>
      </c>
      <c r="L259" s="15">
        <v>21454</v>
      </c>
      <c r="M259" s="15">
        <v>172</v>
      </c>
      <c r="N259" s="2" t="s">
        <v>45</v>
      </c>
      <c r="O259" s="2"/>
      <c r="P259" s="2" t="s">
        <v>23</v>
      </c>
      <c r="V259" s="39"/>
    </row>
    <row r="260" spans="1:22" ht="14.25" customHeight="1" x14ac:dyDescent="0.3">
      <c r="A260" s="2" t="s">
        <v>296</v>
      </c>
      <c r="B260" s="2" t="s">
        <v>33</v>
      </c>
      <c r="C260" s="12">
        <v>45698</v>
      </c>
      <c r="D260" s="2" t="s">
        <v>20</v>
      </c>
      <c r="E260" s="2" t="s">
        <v>21</v>
      </c>
      <c r="F260" s="15">
        <v>562</v>
      </c>
      <c r="G260" s="15">
        <v>158</v>
      </c>
      <c r="H260" s="15">
        <v>149</v>
      </c>
      <c r="I260" s="15">
        <f t="shared" si="12"/>
        <v>869</v>
      </c>
      <c r="J260" s="17">
        <f t="shared" si="13"/>
        <v>0.25771055753262156</v>
      </c>
      <c r="K260" s="15">
        <v>3372</v>
      </c>
      <c r="L260" s="15">
        <v>2940</v>
      </c>
      <c r="M260" s="15">
        <v>93</v>
      </c>
      <c r="N260" s="2" t="s">
        <v>54</v>
      </c>
      <c r="O260" s="2" t="s">
        <v>17</v>
      </c>
      <c r="P260" s="2" t="s">
        <v>43</v>
      </c>
      <c r="V260" s="39"/>
    </row>
    <row r="261" spans="1:22" ht="14.25" customHeight="1" x14ac:dyDescent="0.3">
      <c r="A261" s="2" t="s">
        <v>297</v>
      </c>
      <c r="B261" s="2" t="s">
        <v>27</v>
      </c>
      <c r="C261" s="12">
        <v>45700</v>
      </c>
      <c r="D261" s="2" t="s">
        <v>28</v>
      </c>
      <c r="E261" s="2" t="s">
        <v>29</v>
      </c>
      <c r="F261" s="15">
        <v>4332</v>
      </c>
      <c r="G261" s="15">
        <v>771</v>
      </c>
      <c r="H261" s="15">
        <v>219</v>
      </c>
      <c r="I261" s="15">
        <f t="shared" si="12"/>
        <v>5322</v>
      </c>
      <c r="J261" s="17">
        <f t="shared" si="13"/>
        <v>8.7752275425405618E-2</v>
      </c>
      <c r="K261" s="15">
        <v>60648</v>
      </c>
      <c r="L261" s="15">
        <v>60397</v>
      </c>
      <c r="M261" s="15">
        <v>10</v>
      </c>
      <c r="N261" s="2" t="s">
        <v>22</v>
      </c>
      <c r="O261" s="2"/>
      <c r="P261" s="2" t="s">
        <v>31</v>
      </c>
      <c r="V261" s="39"/>
    </row>
    <row r="262" spans="1:22" ht="14.25" customHeight="1" x14ac:dyDescent="0.3">
      <c r="A262" s="2" t="s">
        <v>298</v>
      </c>
      <c r="B262" s="2" t="s">
        <v>27</v>
      </c>
      <c r="C262" s="12">
        <v>45592</v>
      </c>
      <c r="D262" s="2" t="s">
        <v>39</v>
      </c>
      <c r="E262" s="2" t="s">
        <v>40</v>
      </c>
      <c r="F262" s="15">
        <v>4853</v>
      </c>
      <c r="G262" s="15">
        <v>837</v>
      </c>
      <c r="H262" s="15">
        <v>340</v>
      </c>
      <c r="I262" s="15">
        <f t="shared" si="12"/>
        <v>6030</v>
      </c>
      <c r="J262" s="17">
        <f t="shared" si="13"/>
        <v>8.2835359571399134E-2</v>
      </c>
      <c r="K262" s="15">
        <v>72795</v>
      </c>
      <c r="L262" s="15">
        <v>72237</v>
      </c>
      <c r="M262" s="15">
        <v>170</v>
      </c>
      <c r="N262" s="2" t="s">
        <v>17</v>
      </c>
      <c r="O262" s="2"/>
      <c r="P262" s="2" t="s">
        <v>23</v>
      </c>
      <c r="V262" s="39"/>
    </row>
    <row r="263" spans="1:22" ht="14.25" customHeight="1" x14ac:dyDescent="0.3">
      <c r="A263" s="2" t="s">
        <v>299</v>
      </c>
      <c r="B263" s="2" t="s">
        <v>25</v>
      </c>
      <c r="C263" s="12">
        <v>45675</v>
      </c>
      <c r="D263" s="2" t="s">
        <v>39</v>
      </c>
      <c r="E263" s="2" t="s">
        <v>40</v>
      </c>
      <c r="F263" s="15">
        <v>1206</v>
      </c>
      <c r="G263" s="15">
        <v>238</v>
      </c>
      <c r="H263" s="15">
        <v>36</v>
      </c>
      <c r="I263" s="15">
        <f t="shared" si="12"/>
        <v>1480</v>
      </c>
      <c r="J263" s="17">
        <f t="shared" si="13"/>
        <v>0.15339966832504145</v>
      </c>
      <c r="K263" s="15">
        <v>9648</v>
      </c>
      <c r="L263" s="15">
        <v>9417</v>
      </c>
      <c r="M263" s="15">
        <v>237</v>
      </c>
      <c r="N263" s="2" t="s">
        <v>17</v>
      </c>
      <c r="O263" s="2" t="s">
        <v>45</v>
      </c>
      <c r="P263" s="2" t="s">
        <v>31</v>
      </c>
      <c r="V263" s="39"/>
    </row>
    <row r="264" spans="1:22" ht="14.25" customHeight="1" x14ac:dyDescent="0.3">
      <c r="A264" s="2" t="s">
        <v>300</v>
      </c>
      <c r="B264" s="2" t="s">
        <v>27</v>
      </c>
      <c r="C264" s="12">
        <v>45524</v>
      </c>
      <c r="D264" s="2" t="s">
        <v>15</v>
      </c>
      <c r="E264" s="2" t="s">
        <v>16</v>
      </c>
      <c r="F264" s="15">
        <v>2603</v>
      </c>
      <c r="G264" s="15">
        <v>690</v>
      </c>
      <c r="H264" s="15">
        <v>205</v>
      </c>
      <c r="I264" s="15">
        <f t="shared" si="12"/>
        <v>3498</v>
      </c>
      <c r="J264" s="17">
        <f t="shared" si="13"/>
        <v>0.26876680752977333</v>
      </c>
      <c r="K264" s="15">
        <v>13015</v>
      </c>
      <c r="L264" s="15">
        <v>12130</v>
      </c>
      <c r="M264" s="15">
        <v>20</v>
      </c>
      <c r="N264" s="2" t="s">
        <v>36</v>
      </c>
      <c r="O264" s="2"/>
      <c r="P264" s="2" t="s">
        <v>18</v>
      </c>
      <c r="V264" s="39"/>
    </row>
    <row r="265" spans="1:22" ht="14.25" customHeight="1" x14ac:dyDescent="0.3">
      <c r="A265" s="2" t="s">
        <v>301</v>
      </c>
      <c r="B265" s="2" t="s">
        <v>14</v>
      </c>
      <c r="C265" s="12">
        <v>45687</v>
      </c>
      <c r="D265" s="2" t="s">
        <v>39</v>
      </c>
      <c r="E265" s="2" t="s">
        <v>40</v>
      </c>
      <c r="F265" s="15">
        <v>59</v>
      </c>
      <c r="G265" s="15">
        <v>163</v>
      </c>
      <c r="H265" s="15">
        <v>93</v>
      </c>
      <c r="I265" s="15">
        <f t="shared" si="12"/>
        <v>315</v>
      </c>
      <c r="J265" s="17">
        <f t="shared" si="13"/>
        <v>0.53389830508474578</v>
      </c>
      <c r="K265" s="15">
        <v>590</v>
      </c>
      <c r="L265" s="15">
        <v>475</v>
      </c>
      <c r="M265" s="15">
        <v>293</v>
      </c>
      <c r="N265" s="2" t="s">
        <v>36</v>
      </c>
      <c r="O265" s="2"/>
      <c r="P265" s="2" t="s">
        <v>43</v>
      </c>
      <c r="V265" s="39"/>
    </row>
    <row r="266" spans="1:22" ht="14.25" customHeight="1" x14ac:dyDescent="0.3">
      <c r="A266" s="2" t="s">
        <v>302</v>
      </c>
      <c r="B266" s="2" t="s">
        <v>14</v>
      </c>
      <c r="C266" s="12">
        <v>45708</v>
      </c>
      <c r="D266" s="2" t="s">
        <v>34</v>
      </c>
      <c r="E266" s="2" t="s">
        <v>35</v>
      </c>
      <c r="F266" s="15">
        <v>1877</v>
      </c>
      <c r="G266" s="15">
        <v>745</v>
      </c>
      <c r="H266" s="15">
        <v>225</v>
      </c>
      <c r="I266" s="15">
        <f t="shared" si="12"/>
        <v>2847</v>
      </c>
      <c r="J266" s="17">
        <f t="shared" si="13"/>
        <v>0.25279701651571657</v>
      </c>
      <c r="K266" s="15">
        <v>11262</v>
      </c>
      <c r="L266" s="15">
        <v>10967</v>
      </c>
      <c r="M266" s="15">
        <v>41</v>
      </c>
      <c r="N266" s="2" t="s">
        <v>45</v>
      </c>
      <c r="O266" s="2" t="s">
        <v>17</v>
      </c>
      <c r="P266" s="2" t="s">
        <v>18</v>
      </c>
      <c r="V266" s="39"/>
    </row>
    <row r="267" spans="1:22" ht="14.25" customHeight="1" x14ac:dyDescent="0.3">
      <c r="A267" s="2" t="s">
        <v>303</v>
      </c>
      <c r="B267" s="2" t="s">
        <v>33</v>
      </c>
      <c r="C267" s="12">
        <v>45621</v>
      </c>
      <c r="D267" s="2" t="s">
        <v>28</v>
      </c>
      <c r="E267" s="2" t="s">
        <v>29</v>
      </c>
      <c r="F267" s="15">
        <v>4182</v>
      </c>
      <c r="G267" s="15">
        <v>640</v>
      </c>
      <c r="H267" s="15">
        <v>240</v>
      </c>
      <c r="I267" s="15">
        <f t="shared" si="12"/>
        <v>5062</v>
      </c>
      <c r="J267" s="17">
        <f t="shared" si="13"/>
        <v>0.10086880280567512</v>
      </c>
      <c r="K267" s="15">
        <v>50184</v>
      </c>
      <c r="L267" s="15">
        <v>49351</v>
      </c>
      <c r="M267" s="15">
        <v>10</v>
      </c>
      <c r="N267" s="2" t="s">
        <v>17</v>
      </c>
      <c r="O267" s="2" t="s">
        <v>45</v>
      </c>
      <c r="P267" s="2" t="s">
        <v>31</v>
      </c>
      <c r="V267" s="39"/>
    </row>
    <row r="268" spans="1:22" ht="14.25" customHeight="1" x14ac:dyDescent="0.3">
      <c r="A268" s="2" t="s">
        <v>304</v>
      </c>
      <c r="B268" s="2" t="s">
        <v>14</v>
      </c>
      <c r="C268" s="12">
        <v>45569</v>
      </c>
      <c r="D268" s="2" t="s">
        <v>15</v>
      </c>
      <c r="E268" s="2" t="s">
        <v>16</v>
      </c>
      <c r="F268" s="15">
        <v>4187</v>
      </c>
      <c r="G268" s="15">
        <v>66</v>
      </c>
      <c r="H268" s="15">
        <v>31</v>
      </c>
      <c r="I268" s="15">
        <f t="shared" si="12"/>
        <v>4284</v>
      </c>
      <c r="J268" s="17">
        <f t="shared" si="13"/>
        <v>6.3947934081681396E-2</v>
      </c>
      <c r="K268" s="15">
        <v>66992</v>
      </c>
      <c r="L268" s="15">
        <v>66614</v>
      </c>
      <c r="M268" s="15">
        <v>62</v>
      </c>
      <c r="N268" s="2" t="s">
        <v>45</v>
      </c>
      <c r="O268" s="2"/>
      <c r="P268" s="2" t="s">
        <v>43</v>
      </c>
      <c r="V268" s="39"/>
    </row>
    <row r="269" spans="1:22" ht="14.25" customHeight="1" x14ac:dyDescent="0.3">
      <c r="A269" s="2" t="s">
        <v>305</v>
      </c>
      <c r="B269" s="2" t="s">
        <v>27</v>
      </c>
      <c r="C269" s="12">
        <v>45760</v>
      </c>
      <c r="D269" s="2" t="s">
        <v>15</v>
      </c>
      <c r="E269" s="2" t="s">
        <v>16</v>
      </c>
      <c r="F269" s="15">
        <v>4579</v>
      </c>
      <c r="G269" s="15">
        <v>125</v>
      </c>
      <c r="H269" s="15">
        <v>300</v>
      </c>
      <c r="I269" s="15">
        <f t="shared" si="12"/>
        <v>5004</v>
      </c>
      <c r="J269" s="17">
        <f t="shared" si="13"/>
        <v>8.4062694239588759E-2</v>
      </c>
      <c r="K269" s="15">
        <v>59527</v>
      </c>
      <c r="L269" s="15">
        <v>59400</v>
      </c>
      <c r="M269" s="15">
        <v>269</v>
      </c>
      <c r="N269" s="2" t="s">
        <v>45</v>
      </c>
      <c r="O269" s="2" t="s">
        <v>22</v>
      </c>
      <c r="P269" s="2" t="s">
        <v>18</v>
      </c>
      <c r="V269" s="39"/>
    </row>
    <row r="270" spans="1:22" ht="14.25" customHeight="1" x14ac:dyDescent="0.3">
      <c r="A270" s="2" t="s">
        <v>306</v>
      </c>
      <c r="B270" s="2" t="s">
        <v>27</v>
      </c>
      <c r="C270" s="12">
        <v>45601</v>
      </c>
      <c r="D270" s="2" t="s">
        <v>50</v>
      </c>
      <c r="E270" s="2" t="s">
        <v>51</v>
      </c>
      <c r="F270" s="15">
        <v>4561</v>
      </c>
      <c r="G270" s="15">
        <v>51</v>
      </c>
      <c r="H270" s="15">
        <v>441</v>
      </c>
      <c r="I270" s="15">
        <f t="shared" si="12"/>
        <v>5053</v>
      </c>
      <c r="J270" s="17">
        <f t="shared" si="13"/>
        <v>0.22157421618066214</v>
      </c>
      <c r="K270" s="15">
        <v>22805</v>
      </c>
      <c r="L270" s="15">
        <v>21890</v>
      </c>
      <c r="M270" s="15">
        <v>45</v>
      </c>
      <c r="N270" s="2" t="s">
        <v>45</v>
      </c>
      <c r="O270" s="2"/>
      <c r="P270" s="2" t="s">
        <v>23</v>
      </c>
      <c r="V270" s="39"/>
    </row>
    <row r="271" spans="1:22" ht="14.25" customHeight="1" x14ac:dyDescent="0.3">
      <c r="A271" s="2" t="s">
        <v>307</v>
      </c>
      <c r="B271" s="2" t="s">
        <v>25</v>
      </c>
      <c r="C271" s="12">
        <v>45672</v>
      </c>
      <c r="D271" s="2" t="s">
        <v>15</v>
      </c>
      <c r="E271" s="2" t="s">
        <v>16</v>
      </c>
      <c r="F271" s="15">
        <v>3774</v>
      </c>
      <c r="G271" s="15">
        <v>239</v>
      </c>
      <c r="H271" s="15">
        <v>39</v>
      </c>
      <c r="I271" s="15">
        <f t="shared" si="12"/>
        <v>4052</v>
      </c>
      <c r="J271" s="17">
        <f t="shared" si="13"/>
        <v>6.7103868574456813E-2</v>
      </c>
      <c r="K271" s="15">
        <v>60384</v>
      </c>
      <c r="L271" s="15">
        <v>59490</v>
      </c>
      <c r="M271" s="15">
        <v>241</v>
      </c>
      <c r="N271" s="2" t="s">
        <v>54</v>
      </c>
      <c r="O271" s="2"/>
      <c r="P271" s="2" t="s">
        <v>31</v>
      </c>
      <c r="V271" s="39"/>
    </row>
    <row r="272" spans="1:22" ht="14.25" customHeight="1" x14ac:dyDescent="0.3">
      <c r="A272" s="2" t="s">
        <v>308</v>
      </c>
      <c r="B272" s="2" t="s">
        <v>27</v>
      </c>
      <c r="C272" s="12">
        <v>45582</v>
      </c>
      <c r="D272" s="2" t="s">
        <v>50</v>
      </c>
      <c r="E272" s="2" t="s">
        <v>51</v>
      </c>
      <c r="F272" s="15">
        <v>3575</v>
      </c>
      <c r="G272" s="15">
        <v>749</v>
      </c>
      <c r="H272" s="15">
        <v>111</v>
      </c>
      <c r="I272" s="15">
        <f t="shared" si="12"/>
        <v>4435</v>
      </c>
      <c r="J272" s="17">
        <f t="shared" si="13"/>
        <v>0.20675990675990677</v>
      </c>
      <c r="K272" s="15">
        <v>21450</v>
      </c>
      <c r="L272" s="15">
        <v>20785</v>
      </c>
      <c r="M272" s="15">
        <v>195</v>
      </c>
      <c r="N272" s="2" t="s">
        <v>54</v>
      </c>
      <c r="O272" s="2"/>
      <c r="P272" s="2" t="s">
        <v>31</v>
      </c>
      <c r="V272" s="39"/>
    </row>
    <row r="273" spans="1:22" ht="14.25" customHeight="1" x14ac:dyDescent="0.3">
      <c r="A273" s="2" t="s">
        <v>309</v>
      </c>
      <c r="B273" s="2" t="s">
        <v>27</v>
      </c>
      <c r="C273" s="12">
        <v>45743</v>
      </c>
      <c r="D273" s="2" t="s">
        <v>20</v>
      </c>
      <c r="E273" s="2" t="s">
        <v>21</v>
      </c>
      <c r="F273" s="15">
        <v>4941</v>
      </c>
      <c r="G273" s="15">
        <v>414</v>
      </c>
      <c r="H273" s="15">
        <v>266</v>
      </c>
      <c r="I273" s="15">
        <f t="shared" si="12"/>
        <v>5621</v>
      </c>
      <c r="J273" s="17">
        <f t="shared" si="13"/>
        <v>0.14220299534507186</v>
      </c>
      <c r="K273" s="15">
        <v>39528</v>
      </c>
      <c r="L273" s="15">
        <v>39154</v>
      </c>
      <c r="M273" s="15">
        <v>217</v>
      </c>
      <c r="N273" s="2" t="s">
        <v>17</v>
      </c>
      <c r="O273" s="2"/>
      <c r="P273" s="2" t="s">
        <v>23</v>
      </c>
      <c r="V273" s="39"/>
    </row>
    <row r="274" spans="1:22" ht="14.25" customHeight="1" x14ac:dyDescent="0.3">
      <c r="A274" s="2" t="s">
        <v>310</v>
      </c>
      <c r="B274" s="2" t="s">
        <v>25</v>
      </c>
      <c r="C274" s="12">
        <v>45577</v>
      </c>
      <c r="D274" s="2" t="s">
        <v>28</v>
      </c>
      <c r="E274" s="2" t="s">
        <v>29</v>
      </c>
      <c r="F274" s="15">
        <v>3641</v>
      </c>
      <c r="G274" s="15">
        <v>226</v>
      </c>
      <c r="H274" s="15">
        <v>46</v>
      </c>
      <c r="I274" s="15">
        <f t="shared" si="12"/>
        <v>3913</v>
      </c>
      <c r="J274" s="17">
        <f t="shared" si="13"/>
        <v>9.7700431949264685E-2</v>
      </c>
      <c r="K274" s="15">
        <v>40051</v>
      </c>
      <c r="L274" s="15">
        <v>39319</v>
      </c>
      <c r="M274" s="15">
        <v>296</v>
      </c>
      <c r="N274" s="2" t="s">
        <v>36</v>
      </c>
      <c r="O274" s="2"/>
      <c r="P274" s="2" t="s">
        <v>23</v>
      </c>
      <c r="V274" s="39"/>
    </row>
    <row r="275" spans="1:22" ht="14.25" customHeight="1" x14ac:dyDescent="0.3">
      <c r="A275" s="2" t="s">
        <v>311</v>
      </c>
      <c r="B275" s="2" t="s">
        <v>14</v>
      </c>
      <c r="C275" s="12">
        <v>45658</v>
      </c>
      <c r="D275" s="2" t="s">
        <v>34</v>
      </c>
      <c r="E275" s="2" t="s">
        <v>35</v>
      </c>
      <c r="F275" s="15">
        <v>3535</v>
      </c>
      <c r="G275" s="15">
        <v>494</v>
      </c>
      <c r="H275" s="15">
        <v>152</v>
      </c>
      <c r="I275" s="15">
        <f t="shared" si="12"/>
        <v>4181</v>
      </c>
      <c r="J275" s="17">
        <f t="shared" si="13"/>
        <v>7.8849599245638849E-2</v>
      </c>
      <c r="K275" s="15">
        <v>53025</v>
      </c>
      <c r="L275" s="15">
        <v>52791</v>
      </c>
      <c r="M275" s="15">
        <v>44</v>
      </c>
      <c r="N275" s="2" t="s">
        <v>36</v>
      </c>
      <c r="O275" s="2" t="s">
        <v>45</v>
      </c>
      <c r="P275" s="2" t="s">
        <v>23</v>
      </c>
      <c r="V275" s="39"/>
    </row>
    <row r="276" spans="1:22" ht="14.25" customHeight="1" x14ac:dyDescent="0.3">
      <c r="A276" s="2" t="s">
        <v>312</v>
      </c>
      <c r="B276" s="2" t="s">
        <v>33</v>
      </c>
      <c r="C276" s="12">
        <v>45509</v>
      </c>
      <c r="D276" s="2" t="s">
        <v>15</v>
      </c>
      <c r="E276" s="2" t="s">
        <v>16</v>
      </c>
      <c r="F276" s="15">
        <v>1741</v>
      </c>
      <c r="G276" s="15">
        <v>831</v>
      </c>
      <c r="H276" s="15">
        <v>345</v>
      </c>
      <c r="I276" s="15">
        <f t="shared" si="12"/>
        <v>2917</v>
      </c>
      <c r="J276" s="17">
        <f t="shared" si="13"/>
        <v>0.16754738655944859</v>
      </c>
      <c r="K276" s="15">
        <v>17410</v>
      </c>
      <c r="L276" s="15">
        <v>16844</v>
      </c>
      <c r="M276" s="15">
        <v>58</v>
      </c>
      <c r="N276" s="2" t="s">
        <v>22</v>
      </c>
      <c r="O276" s="2" t="s">
        <v>54</v>
      </c>
      <c r="P276" s="2" t="s">
        <v>43</v>
      </c>
      <c r="V276" s="39"/>
    </row>
    <row r="277" spans="1:22" ht="14.25" customHeight="1" x14ac:dyDescent="0.3">
      <c r="A277" s="2" t="s">
        <v>313</v>
      </c>
      <c r="B277" s="2" t="s">
        <v>14</v>
      </c>
      <c r="C277" s="12">
        <v>45450</v>
      </c>
      <c r="D277" s="2" t="s">
        <v>34</v>
      </c>
      <c r="E277" s="2" t="s">
        <v>35</v>
      </c>
      <c r="F277" s="15">
        <v>1556</v>
      </c>
      <c r="G277" s="15">
        <v>195</v>
      </c>
      <c r="H277" s="15">
        <v>131</v>
      </c>
      <c r="I277" s="15">
        <f t="shared" si="12"/>
        <v>1882</v>
      </c>
      <c r="J277" s="17">
        <f t="shared" si="13"/>
        <v>0.2015852613538989</v>
      </c>
      <c r="K277" s="15">
        <v>9336</v>
      </c>
      <c r="L277" s="15">
        <v>8875</v>
      </c>
      <c r="M277" s="15">
        <v>137</v>
      </c>
      <c r="N277" s="2" t="s">
        <v>22</v>
      </c>
      <c r="O277" s="2"/>
      <c r="P277" s="2" t="s">
        <v>23</v>
      </c>
      <c r="V277" s="39"/>
    </row>
    <row r="278" spans="1:22" ht="14.25" customHeight="1" x14ac:dyDescent="0.3">
      <c r="A278" s="2" t="s">
        <v>314</v>
      </c>
      <c r="B278" s="2" t="s">
        <v>33</v>
      </c>
      <c r="C278" s="12">
        <v>45753</v>
      </c>
      <c r="D278" s="2" t="s">
        <v>39</v>
      </c>
      <c r="E278" s="2" t="s">
        <v>40</v>
      </c>
      <c r="F278" s="15">
        <v>4236</v>
      </c>
      <c r="G278" s="15">
        <v>711</v>
      </c>
      <c r="H278" s="15">
        <v>298</v>
      </c>
      <c r="I278" s="15">
        <f t="shared" si="12"/>
        <v>5245</v>
      </c>
      <c r="J278" s="17">
        <f t="shared" si="13"/>
        <v>0.24763928234183191</v>
      </c>
      <c r="K278" s="15">
        <v>21180</v>
      </c>
      <c r="L278" s="15">
        <v>20516</v>
      </c>
      <c r="M278" s="15">
        <v>238</v>
      </c>
      <c r="N278" s="2" t="s">
        <v>36</v>
      </c>
      <c r="O278" s="2" t="s">
        <v>17</v>
      </c>
      <c r="P278" s="2" t="s">
        <v>43</v>
      </c>
      <c r="V278" s="39"/>
    </row>
    <row r="279" spans="1:22" ht="14.25" customHeight="1" x14ac:dyDescent="0.3">
      <c r="A279" s="2" t="s">
        <v>315</v>
      </c>
      <c r="B279" s="2" t="s">
        <v>14</v>
      </c>
      <c r="C279" s="12">
        <v>45622</v>
      </c>
      <c r="D279" s="2" t="s">
        <v>20</v>
      </c>
      <c r="E279" s="2" t="s">
        <v>21</v>
      </c>
      <c r="F279" s="15">
        <v>4516</v>
      </c>
      <c r="G279" s="15">
        <v>836</v>
      </c>
      <c r="H279" s="15">
        <v>169</v>
      </c>
      <c r="I279" s="15">
        <f t="shared" si="12"/>
        <v>5521</v>
      </c>
      <c r="J279" s="17">
        <f t="shared" si="13"/>
        <v>0.11114018842096787</v>
      </c>
      <c r="K279" s="15">
        <v>49676</v>
      </c>
      <c r="L279" s="15">
        <v>49257</v>
      </c>
      <c r="M279" s="15">
        <v>282</v>
      </c>
      <c r="N279" s="2" t="s">
        <v>36</v>
      </c>
      <c r="O279" s="2"/>
      <c r="P279" s="2" t="s">
        <v>18</v>
      </c>
      <c r="V279" s="39"/>
    </row>
    <row r="280" spans="1:22" ht="14.25" customHeight="1" x14ac:dyDescent="0.3">
      <c r="A280" s="2" t="s">
        <v>316</v>
      </c>
      <c r="B280" s="2" t="s">
        <v>25</v>
      </c>
      <c r="C280" s="12">
        <v>45537</v>
      </c>
      <c r="D280" s="2" t="s">
        <v>39</v>
      </c>
      <c r="E280" s="2" t="s">
        <v>40</v>
      </c>
      <c r="F280" s="15">
        <v>4905</v>
      </c>
      <c r="G280" s="15">
        <v>845</v>
      </c>
      <c r="H280" s="15">
        <v>129</v>
      </c>
      <c r="I280" s="15">
        <f t="shared" si="12"/>
        <v>5879</v>
      </c>
      <c r="J280" s="17">
        <f t="shared" si="13"/>
        <v>5.9928644240570844E-2</v>
      </c>
      <c r="K280" s="15">
        <v>98100</v>
      </c>
      <c r="L280" s="15">
        <v>97772</v>
      </c>
      <c r="M280" s="15">
        <v>279</v>
      </c>
      <c r="N280" s="2" t="s">
        <v>36</v>
      </c>
      <c r="O280" s="2"/>
      <c r="P280" s="2" t="s">
        <v>43</v>
      </c>
      <c r="V280" s="39"/>
    </row>
    <row r="281" spans="1:22" ht="14.25" customHeight="1" x14ac:dyDescent="0.3">
      <c r="A281" s="2" t="s">
        <v>317</v>
      </c>
      <c r="B281" s="2" t="s">
        <v>25</v>
      </c>
      <c r="C281" s="12">
        <v>45586</v>
      </c>
      <c r="D281" s="2" t="s">
        <v>50</v>
      </c>
      <c r="E281" s="2" t="s">
        <v>51</v>
      </c>
      <c r="F281" s="15">
        <v>4275</v>
      </c>
      <c r="G281" s="15">
        <v>680</v>
      </c>
      <c r="H281" s="15">
        <v>385</v>
      </c>
      <c r="I281" s="15">
        <f t="shared" si="12"/>
        <v>5340</v>
      </c>
      <c r="J281" s="17">
        <f t="shared" si="13"/>
        <v>8.3274853801169585E-2</v>
      </c>
      <c r="K281" s="15">
        <v>64125</v>
      </c>
      <c r="L281" s="15">
        <v>63650</v>
      </c>
      <c r="M281" s="15">
        <v>104</v>
      </c>
      <c r="N281" s="2" t="s">
        <v>45</v>
      </c>
      <c r="O281" s="2"/>
      <c r="P281" s="2" t="s">
        <v>43</v>
      </c>
      <c r="V281" s="39"/>
    </row>
    <row r="282" spans="1:22" ht="14.25" customHeight="1" x14ac:dyDescent="0.3">
      <c r="A282" s="2" t="s">
        <v>318</v>
      </c>
      <c r="B282" s="2" t="s">
        <v>25</v>
      </c>
      <c r="C282" s="12">
        <v>45738</v>
      </c>
      <c r="D282" s="2" t="s">
        <v>39</v>
      </c>
      <c r="E282" s="2" t="s">
        <v>40</v>
      </c>
      <c r="F282" s="15">
        <v>3166</v>
      </c>
      <c r="G282" s="15">
        <v>90</v>
      </c>
      <c r="H282" s="15">
        <v>341</v>
      </c>
      <c r="I282" s="15">
        <f t="shared" si="12"/>
        <v>3597</v>
      </c>
      <c r="J282" s="17">
        <f t="shared" si="13"/>
        <v>6.3118551273952411E-2</v>
      </c>
      <c r="K282" s="15">
        <v>56988</v>
      </c>
      <c r="L282" s="15">
        <v>56125</v>
      </c>
      <c r="M282" s="15">
        <v>135</v>
      </c>
      <c r="N282" s="2" t="s">
        <v>22</v>
      </c>
      <c r="O282" s="2" t="s">
        <v>45</v>
      </c>
      <c r="P282" s="2" t="s">
        <v>23</v>
      </c>
      <c r="V282" s="39"/>
    </row>
    <row r="283" spans="1:22" ht="14.25" customHeight="1" x14ac:dyDescent="0.3">
      <c r="A283" s="2" t="s">
        <v>319</v>
      </c>
      <c r="B283" s="2" t="s">
        <v>27</v>
      </c>
      <c r="C283" s="12">
        <v>45568</v>
      </c>
      <c r="D283" s="2" t="s">
        <v>50</v>
      </c>
      <c r="E283" s="2" t="s">
        <v>51</v>
      </c>
      <c r="F283" s="15">
        <v>1488</v>
      </c>
      <c r="G283" s="15">
        <v>417</v>
      </c>
      <c r="H283" s="15">
        <v>168</v>
      </c>
      <c r="I283" s="15">
        <f t="shared" si="12"/>
        <v>2073</v>
      </c>
      <c r="J283" s="17">
        <f t="shared" si="13"/>
        <v>0.1071650124069479</v>
      </c>
      <c r="K283" s="15">
        <v>19344</v>
      </c>
      <c r="L283" s="15">
        <v>18395</v>
      </c>
      <c r="M283" s="15">
        <v>30</v>
      </c>
      <c r="N283" s="2" t="s">
        <v>17</v>
      </c>
      <c r="O283" s="2"/>
      <c r="P283" s="2" t="s">
        <v>18</v>
      </c>
      <c r="V283" s="39"/>
    </row>
    <row r="284" spans="1:22" ht="14.25" customHeight="1" x14ac:dyDescent="0.3">
      <c r="A284" s="2" t="s">
        <v>320</v>
      </c>
      <c r="B284" s="2" t="s">
        <v>14</v>
      </c>
      <c r="C284" s="12">
        <v>45786</v>
      </c>
      <c r="D284" s="2" t="s">
        <v>15</v>
      </c>
      <c r="E284" s="2" t="s">
        <v>16</v>
      </c>
      <c r="F284" s="15">
        <v>3367</v>
      </c>
      <c r="G284" s="15">
        <v>302</v>
      </c>
      <c r="H284" s="15">
        <v>57</v>
      </c>
      <c r="I284" s="15">
        <f t="shared" si="12"/>
        <v>3726</v>
      </c>
      <c r="J284" s="17">
        <f t="shared" si="13"/>
        <v>5.8243321401216137E-2</v>
      </c>
      <c r="K284" s="15">
        <v>63973</v>
      </c>
      <c r="L284" s="15">
        <v>63789</v>
      </c>
      <c r="M284" s="15">
        <v>157</v>
      </c>
      <c r="N284" s="2" t="s">
        <v>36</v>
      </c>
      <c r="O284" s="2" t="s">
        <v>22</v>
      </c>
      <c r="P284" s="2" t="s">
        <v>31</v>
      </c>
      <c r="V284" s="39"/>
    </row>
    <row r="285" spans="1:22" ht="14.25" customHeight="1" x14ac:dyDescent="0.3">
      <c r="A285" s="2" t="s">
        <v>321</v>
      </c>
      <c r="B285" s="2" t="s">
        <v>14</v>
      </c>
      <c r="C285" s="12">
        <v>45552</v>
      </c>
      <c r="D285" s="2" t="s">
        <v>20</v>
      </c>
      <c r="E285" s="2" t="s">
        <v>21</v>
      </c>
      <c r="F285" s="15">
        <v>571</v>
      </c>
      <c r="G285" s="15">
        <v>190</v>
      </c>
      <c r="H285" s="15">
        <v>352</v>
      </c>
      <c r="I285" s="15">
        <f t="shared" si="12"/>
        <v>1113</v>
      </c>
      <c r="J285" s="17">
        <f t="shared" si="13"/>
        <v>0.11465952405480581</v>
      </c>
      <c r="K285" s="15">
        <v>9707</v>
      </c>
      <c r="L285" s="15">
        <v>9418</v>
      </c>
      <c r="M285" s="15">
        <v>231</v>
      </c>
      <c r="N285" s="2" t="s">
        <v>54</v>
      </c>
      <c r="O285" s="2"/>
      <c r="P285" s="2" t="s">
        <v>23</v>
      </c>
      <c r="V285" s="39"/>
    </row>
    <row r="286" spans="1:22" ht="14.25" customHeight="1" x14ac:dyDescent="0.3">
      <c r="A286" s="2" t="s">
        <v>322</v>
      </c>
      <c r="B286" s="2" t="s">
        <v>25</v>
      </c>
      <c r="C286" s="12">
        <v>45491</v>
      </c>
      <c r="D286" s="2" t="s">
        <v>20</v>
      </c>
      <c r="E286" s="2" t="s">
        <v>21</v>
      </c>
      <c r="F286" s="15">
        <v>4021</v>
      </c>
      <c r="G286" s="15">
        <v>794</v>
      </c>
      <c r="H286" s="15">
        <v>77</v>
      </c>
      <c r="I286" s="15">
        <f t="shared" si="12"/>
        <v>4892</v>
      </c>
      <c r="J286" s="17">
        <f t="shared" si="13"/>
        <v>0.13517919809886983</v>
      </c>
      <c r="K286" s="15">
        <v>36189</v>
      </c>
      <c r="L286" s="15">
        <v>35505</v>
      </c>
      <c r="M286" s="15">
        <v>174</v>
      </c>
      <c r="N286" s="2" t="s">
        <v>54</v>
      </c>
      <c r="O286" s="2" t="s">
        <v>45</v>
      </c>
      <c r="P286" s="2" t="s">
        <v>18</v>
      </c>
      <c r="V286" s="39"/>
    </row>
    <row r="287" spans="1:22" ht="14.25" customHeight="1" x14ac:dyDescent="0.3">
      <c r="A287" s="2" t="s">
        <v>323</v>
      </c>
      <c r="B287" s="2" t="s">
        <v>25</v>
      </c>
      <c r="C287" s="12">
        <v>45560</v>
      </c>
      <c r="D287" s="2" t="s">
        <v>50</v>
      </c>
      <c r="E287" s="2" t="s">
        <v>51</v>
      </c>
      <c r="F287" s="15">
        <v>3389</v>
      </c>
      <c r="G287" s="15">
        <v>344</v>
      </c>
      <c r="H287" s="15">
        <v>229</v>
      </c>
      <c r="I287" s="15">
        <f t="shared" si="12"/>
        <v>3962</v>
      </c>
      <c r="J287" s="17">
        <f t="shared" si="13"/>
        <v>0.19484607062063539</v>
      </c>
      <c r="K287" s="15">
        <v>20334</v>
      </c>
      <c r="L287" s="15">
        <v>19443</v>
      </c>
      <c r="M287" s="15">
        <v>228</v>
      </c>
      <c r="N287" s="2" t="s">
        <v>22</v>
      </c>
      <c r="O287" s="2" t="s">
        <v>17</v>
      </c>
      <c r="P287" s="2" t="s">
        <v>23</v>
      </c>
      <c r="V287" s="39"/>
    </row>
    <row r="288" spans="1:22" ht="14.25" customHeight="1" x14ac:dyDescent="0.3">
      <c r="A288" s="2" t="s">
        <v>324</v>
      </c>
      <c r="B288" s="2" t="s">
        <v>27</v>
      </c>
      <c r="C288" s="12">
        <v>45519</v>
      </c>
      <c r="D288" s="2" t="s">
        <v>15</v>
      </c>
      <c r="E288" s="2" t="s">
        <v>16</v>
      </c>
      <c r="F288" s="15">
        <v>1164</v>
      </c>
      <c r="G288" s="15">
        <v>616</v>
      </c>
      <c r="H288" s="15">
        <v>324</v>
      </c>
      <c r="I288" s="15">
        <f t="shared" si="12"/>
        <v>2104</v>
      </c>
      <c r="J288" s="17">
        <f t="shared" si="13"/>
        <v>0.30126002290950743</v>
      </c>
      <c r="K288" s="15">
        <v>6984</v>
      </c>
      <c r="L288" s="15">
        <v>6636</v>
      </c>
      <c r="M288" s="15">
        <v>82</v>
      </c>
      <c r="N288" s="2" t="s">
        <v>22</v>
      </c>
      <c r="O288" s="2" t="s">
        <v>36</v>
      </c>
      <c r="P288" s="2" t="s">
        <v>31</v>
      </c>
      <c r="V288" s="39"/>
    </row>
    <row r="289" spans="1:22" ht="14.25" customHeight="1" x14ac:dyDescent="0.3">
      <c r="A289" s="2" t="s">
        <v>325</v>
      </c>
      <c r="B289" s="2" t="s">
        <v>25</v>
      </c>
      <c r="C289" s="12">
        <v>45764</v>
      </c>
      <c r="D289" s="2" t="s">
        <v>34</v>
      </c>
      <c r="E289" s="2" t="s">
        <v>35</v>
      </c>
      <c r="F289" s="15">
        <v>4780</v>
      </c>
      <c r="G289" s="15">
        <v>691</v>
      </c>
      <c r="H289" s="15">
        <v>380</v>
      </c>
      <c r="I289" s="15">
        <f t="shared" si="12"/>
        <v>5851</v>
      </c>
      <c r="J289" s="17">
        <f t="shared" si="13"/>
        <v>6.800325430032543E-2</v>
      </c>
      <c r="K289" s="15">
        <v>86040</v>
      </c>
      <c r="L289" s="15">
        <v>85743</v>
      </c>
      <c r="M289" s="15">
        <v>262</v>
      </c>
      <c r="N289" s="2" t="s">
        <v>22</v>
      </c>
      <c r="O289" s="2" t="s">
        <v>54</v>
      </c>
      <c r="P289" s="2" t="s">
        <v>31</v>
      </c>
      <c r="V289" s="39"/>
    </row>
    <row r="290" spans="1:22" ht="14.25" customHeight="1" x14ac:dyDescent="0.3">
      <c r="A290" s="2" t="s">
        <v>326</v>
      </c>
      <c r="B290" s="2" t="s">
        <v>33</v>
      </c>
      <c r="C290" s="12">
        <v>45624</v>
      </c>
      <c r="D290" s="2" t="s">
        <v>34</v>
      </c>
      <c r="E290" s="2" t="s">
        <v>35</v>
      </c>
      <c r="F290" s="15">
        <v>2751</v>
      </c>
      <c r="G290" s="15">
        <v>33</v>
      </c>
      <c r="H290" s="15">
        <v>430</v>
      </c>
      <c r="I290" s="15">
        <f t="shared" si="12"/>
        <v>3214</v>
      </c>
      <c r="J290" s="17">
        <f t="shared" si="13"/>
        <v>7.3018902217375503E-2</v>
      </c>
      <c r="K290" s="15">
        <v>44016</v>
      </c>
      <c r="L290" s="15">
        <v>43415</v>
      </c>
      <c r="M290" s="15">
        <v>129</v>
      </c>
      <c r="N290" s="2" t="s">
        <v>36</v>
      </c>
      <c r="O290" s="2" t="s">
        <v>45</v>
      </c>
      <c r="P290" s="2" t="s">
        <v>23</v>
      </c>
      <c r="V290" s="39"/>
    </row>
    <row r="291" spans="1:22" ht="14.25" customHeight="1" x14ac:dyDescent="0.3">
      <c r="A291" s="2" t="s">
        <v>327</v>
      </c>
      <c r="B291" s="2" t="s">
        <v>27</v>
      </c>
      <c r="C291" s="12">
        <v>45646</v>
      </c>
      <c r="D291" s="2" t="s">
        <v>34</v>
      </c>
      <c r="E291" s="2" t="s">
        <v>35</v>
      </c>
      <c r="F291" s="15">
        <v>2107</v>
      </c>
      <c r="G291" s="15">
        <v>550</v>
      </c>
      <c r="H291" s="15">
        <v>349</v>
      </c>
      <c r="I291" s="15">
        <f t="shared" si="12"/>
        <v>3006</v>
      </c>
      <c r="J291" s="17">
        <f t="shared" si="13"/>
        <v>8.3921940869371006E-2</v>
      </c>
      <c r="K291" s="15">
        <v>35819</v>
      </c>
      <c r="L291" s="15">
        <v>35340</v>
      </c>
      <c r="M291" s="15">
        <v>191</v>
      </c>
      <c r="N291" s="2" t="s">
        <v>36</v>
      </c>
      <c r="O291" s="2"/>
      <c r="P291" s="2" t="s">
        <v>31</v>
      </c>
      <c r="V291" s="39"/>
    </row>
    <row r="292" spans="1:22" ht="14.25" customHeight="1" x14ac:dyDescent="0.3">
      <c r="A292" s="2" t="s">
        <v>328</v>
      </c>
      <c r="B292" s="2" t="s">
        <v>33</v>
      </c>
      <c r="C292" s="12">
        <v>45602</v>
      </c>
      <c r="D292" s="2" t="s">
        <v>50</v>
      </c>
      <c r="E292" s="2" t="s">
        <v>51</v>
      </c>
      <c r="F292" s="15">
        <v>4663</v>
      </c>
      <c r="G292" s="15">
        <v>145</v>
      </c>
      <c r="H292" s="15">
        <v>225</v>
      </c>
      <c r="I292" s="15">
        <f t="shared" si="12"/>
        <v>5033</v>
      </c>
      <c r="J292" s="17">
        <f t="shared" si="13"/>
        <v>7.1956537279290869E-2</v>
      </c>
      <c r="K292" s="15">
        <v>69945</v>
      </c>
      <c r="L292" s="15">
        <v>69596</v>
      </c>
      <c r="M292" s="15">
        <v>35</v>
      </c>
      <c r="N292" s="2" t="s">
        <v>22</v>
      </c>
      <c r="O292" s="2"/>
      <c r="P292" s="2" t="s">
        <v>23</v>
      </c>
      <c r="V292" s="39"/>
    </row>
    <row r="293" spans="1:22" ht="14.25" customHeight="1" x14ac:dyDescent="0.3">
      <c r="A293" s="2" t="s">
        <v>329</v>
      </c>
      <c r="B293" s="2" t="s">
        <v>33</v>
      </c>
      <c r="C293" s="12">
        <v>45613</v>
      </c>
      <c r="D293" s="2" t="s">
        <v>20</v>
      </c>
      <c r="E293" s="2" t="s">
        <v>21</v>
      </c>
      <c r="F293" s="15">
        <v>880</v>
      </c>
      <c r="G293" s="15">
        <v>297</v>
      </c>
      <c r="H293" s="15">
        <v>345</v>
      </c>
      <c r="I293" s="15">
        <f t="shared" si="12"/>
        <v>1522</v>
      </c>
      <c r="J293" s="17">
        <f t="shared" si="13"/>
        <v>0.12353896103896105</v>
      </c>
      <c r="K293" s="15">
        <v>12320</v>
      </c>
      <c r="L293" s="15">
        <v>11978</v>
      </c>
      <c r="M293" s="15">
        <v>238</v>
      </c>
      <c r="N293" s="2" t="s">
        <v>17</v>
      </c>
      <c r="O293" s="2"/>
      <c r="P293" s="2" t="s">
        <v>23</v>
      </c>
      <c r="V293" s="39"/>
    </row>
    <row r="294" spans="1:22" ht="14.25" customHeight="1" x14ac:dyDescent="0.3">
      <c r="A294" s="2" t="s">
        <v>330</v>
      </c>
      <c r="B294" s="2" t="s">
        <v>33</v>
      </c>
      <c r="C294" s="12">
        <v>45791</v>
      </c>
      <c r="D294" s="2" t="s">
        <v>20</v>
      </c>
      <c r="E294" s="2" t="s">
        <v>21</v>
      </c>
      <c r="F294" s="15">
        <v>2634</v>
      </c>
      <c r="G294" s="15">
        <v>726</v>
      </c>
      <c r="H294" s="15">
        <v>241</v>
      </c>
      <c r="I294" s="15">
        <f t="shared" si="12"/>
        <v>3601</v>
      </c>
      <c r="J294" s="17">
        <f t="shared" si="13"/>
        <v>0.12428384068475185</v>
      </c>
      <c r="K294" s="15">
        <v>28974</v>
      </c>
      <c r="L294" s="15">
        <v>28102</v>
      </c>
      <c r="M294" s="15">
        <v>277</v>
      </c>
      <c r="N294" s="2" t="s">
        <v>45</v>
      </c>
      <c r="O294" s="2"/>
      <c r="P294" s="2" t="s">
        <v>31</v>
      </c>
      <c r="V294" s="39"/>
    </row>
    <row r="295" spans="1:22" ht="14.25" customHeight="1" x14ac:dyDescent="0.3">
      <c r="A295" s="2" t="s">
        <v>331</v>
      </c>
      <c r="B295" s="2" t="s">
        <v>33</v>
      </c>
      <c r="C295" s="12">
        <v>45462</v>
      </c>
      <c r="D295" s="2" t="s">
        <v>34</v>
      </c>
      <c r="E295" s="2" t="s">
        <v>35</v>
      </c>
      <c r="F295" s="15">
        <v>4731</v>
      </c>
      <c r="G295" s="15">
        <v>173</v>
      </c>
      <c r="H295" s="15">
        <v>276</v>
      </c>
      <c r="I295" s="15">
        <f t="shared" si="12"/>
        <v>5180</v>
      </c>
      <c r="J295" s="17">
        <f t="shared" si="13"/>
        <v>0.18248432325794406</v>
      </c>
      <c r="K295" s="15">
        <v>28386</v>
      </c>
      <c r="L295" s="15">
        <v>28185</v>
      </c>
      <c r="M295" s="15">
        <v>89</v>
      </c>
      <c r="N295" s="2" t="s">
        <v>36</v>
      </c>
      <c r="O295" s="2" t="s">
        <v>22</v>
      </c>
      <c r="P295" s="2" t="s">
        <v>43</v>
      </c>
      <c r="V295" s="39"/>
    </row>
    <row r="296" spans="1:22" ht="14.25" customHeight="1" x14ac:dyDescent="0.3">
      <c r="A296" s="2" t="s">
        <v>332</v>
      </c>
      <c r="B296" s="2" t="s">
        <v>14</v>
      </c>
      <c r="C296" s="12">
        <v>45783</v>
      </c>
      <c r="D296" s="2" t="s">
        <v>39</v>
      </c>
      <c r="E296" s="2" t="s">
        <v>40</v>
      </c>
      <c r="F296" s="15">
        <v>1952</v>
      </c>
      <c r="G296" s="15">
        <v>344</v>
      </c>
      <c r="H296" s="15">
        <v>287</v>
      </c>
      <c r="I296" s="15">
        <f t="shared" si="12"/>
        <v>2583</v>
      </c>
      <c r="J296" s="17">
        <f t="shared" si="13"/>
        <v>0.16540727459016394</v>
      </c>
      <c r="K296" s="15">
        <v>15616</v>
      </c>
      <c r="L296" s="15">
        <v>15403</v>
      </c>
      <c r="M296" s="15">
        <v>235</v>
      </c>
      <c r="N296" s="2" t="s">
        <v>17</v>
      </c>
      <c r="O296" s="2" t="s">
        <v>22</v>
      </c>
      <c r="P296" s="2" t="s">
        <v>31</v>
      </c>
      <c r="V296" s="39"/>
    </row>
    <row r="297" spans="1:22" ht="14.25" customHeight="1" x14ac:dyDescent="0.3">
      <c r="A297" s="2" t="s">
        <v>333</v>
      </c>
      <c r="B297" s="2" t="s">
        <v>14</v>
      </c>
      <c r="C297" s="12">
        <v>45699</v>
      </c>
      <c r="D297" s="2" t="s">
        <v>50</v>
      </c>
      <c r="E297" s="2" t="s">
        <v>51</v>
      </c>
      <c r="F297" s="15">
        <v>3440</v>
      </c>
      <c r="G297" s="15">
        <v>13</v>
      </c>
      <c r="H297" s="15">
        <v>20</v>
      </c>
      <c r="I297" s="15">
        <f t="shared" si="12"/>
        <v>3473</v>
      </c>
      <c r="J297" s="17">
        <f t="shared" si="13"/>
        <v>5.9387824897400819E-2</v>
      </c>
      <c r="K297" s="15">
        <v>58480</v>
      </c>
      <c r="L297" s="15">
        <v>58146</v>
      </c>
      <c r="M297" s="15">
        <v>210</v>
      </c>
      <c r="N297" s="2" t="s">
        <v>22</v>
      </c>
      <c r="O297" s="2" t="s">
        <v>54</v>
      </c>
      <c r="P297" s="2" t="s">
        <v>18</v>
      </c>
      <c r="V297" s="39"/>
    </row>
    <row r="298" spans="1:22" ht="14.25" customHeight="1" x14ac:dyDescent="0.3">
      <c r="A298" s="2" t="s">
        <v>334</v>
      </c>
      <c r="B298" s="2" t="s">
        <v>14</v>
      </c>
      <c r="C298" s="12">
        <v>45650</v>
      </c>
      <c r="D298" s="2" t="s">
        <v>20</v>
      </c>
      <c r="E298" s="2" t="s">
        <v>21</v>
      </c>
      <c r="F298" s="15">
        <v>2166</v>
      </c>
      <c r="G298" s="15">
        <v>354</v>
      </c>
      <c r="H298" s="15">
        <v>117</v>
      </c>
      <c r="I298" s="15">
        <f t="shared" si="12"/>
        <v>2637</v>
      </c>
      <c r="J298" s="17">
        <f t="shared" si="13"/>
        <v>0.24349030470914126</v>
      </c>
      <c r="K298" s="15">
        <v>10830</v>
      </c>
      <c r="L298" s="15">
        <v>10245</v>
      </c>
      <c r="M298" s="15">
        <v>24</v>
      </c>
      <c r="N298" s="2" t="s">
        <v>45</v>
      </c>
      <c r="O298" s="2" t="s">
        <v>36</v>
      </c>
      <c r="P298" s="2" t="s">
        <v>18</v>
      </c>
      <c r="V298" s="39"/>
    </row>
    <row r="299" spans="1:22" ht="14.25" customHeight="1" x14ac:dyDescent="0.3">
      <c r="A299" s="2" t="s">
        <v>335</v>
      </c>
      <c r="B299" s="2" t="s">
        <v>33</v>
      </c>
      <c r="C299" s="12">
        <v>45589</v>
      </c>
      <c r="D299" s="2" t="s">
        <v>39</v>
      </c>
      <c r="E299" s="2" t="s">
        <v>40</v>
      </c>
      <c r="F299" s="15">
        <v>4303</v>
      </c>
      <c r="G299" s="15">
        <v>451</v>
      </c>
      <c r="H299" s="15">
        <v>286</v>
      </c>
      <c r="I299" s="15">
        <f t="shared" si="12"/>
        <v>5040</v>
      </c>
      <c r="J299" s="17">
        <f t="shared" si="13"/>
        <v>5.8563792702765516E-2</v>
      </c>
      <c r="K299" s="15">
        <v>86060</v>
      </c>
      <c r="L299" s="15">
        <v>85823</v>
      </c>
      <c r="M299" s="15">
        <v>14</v>
      </c>
      <c r="N299" s="2" t="s">
        <v>17</v>
      </c>
      <c r="O299" s="2"/>
      <c r="P299" s="2" t="s">
        <v>23</v>
      </c>
      <c r="V299" s="39"/>
    </row>
    <row r="300" spans="1:22" ht="14.25" customHeight="1" x14ac:dyDescent="0.3">
      <c r="A300" s="2" t="s">
        <v>336</v>
      </c>
      <c r="B300" s="2" t="s">
        <v>33</v>
      </c>
      <c r="C300" s="12">
        <v>45530</v>
      </c>
      <c r="D300" s="2" t="s">
        <v>39</v>
      </c>
      <c r="E300" s="2" t="s">
        <v>40</v>
      </c>
      <c r="F300" s="15">
        <v>2581</v>
      </c>
      <c r="G300" s="15">
        <v>517</v>
      </c>
      <c r="H300" s="15">
        <v>117</v>
      </c>
      <c r="I300" s="15">
        <f t="shared" si="12"/>
        <v>3215</v>
      </c>
      <c r="J300" s="17">
        <f t="shared" si="13"/>
        <v>0.13840458048129492</v>
      </c>
      <c r="K300" s="15">
        <v>23229</v>
      </c>
      <c r="L300" s="15">
        <v>22331</v>
      </c>
      <c r="M300" s="15">
        <v>70</v>
      </c>
      <c r="N300" s="2" t="s">
        <v>17</v>
      </c>
      <c r="O300" s="2" t="s">
        <v>45</v>
      </c>
      <c r="P300" s="2" t="s">
        <v>23</v>
      </c>
      <c r="V300" s="39"/>
    </row>
    <row r="301" spans="1:22" ht="14.25" customHeight="1" x14ac:dyDescent="0.3">
      <c r="A301" s="2" t="s">
        <v>337</v>
      </c>
      <c r="B301" s="2" t="s">
        <v>14</v>
      </c>
      <c r="C301" s="12">
        <v>45535</v>
      </c>
      <c r="D301" s="2" t="s">
        <v>34</v>
      </c>
      <c r="E301" s="2" t="s">
        <v>35</v>
      </c>
      <c r="F301" s="15">
        <v>4494</v>
      </c>
      <c r="G301" s="15">
        <v>717</v>
      </c>
      <c r="H301" s="15">
        <v>45</v>
      </c>
      <c r="I301" s="15">
        <f t="shared" si="12"/>
        <v>5256</v>
      </c>
      <c r="J301" s="17">
        <f t="shared" si="13"/>
        <v>8.3539958039290485E-2</v>
      </c>
      <c r="K301" s="15">
        <v>62916</v>
      </c>
      <c r="L301" s="15">
        <v>62688</v>
      </c>
      <c r="M301" s="15">
        <v>191</v>
      </c>
      <c r="N301" s="2" t="s">
        <v>22</v>
      </c>
      <c r="O301" s="2"/>
      <c r="P301" s="2" t="s">
        <v>18</v>
      </c>
      <c r="V301" s="39"/>
    </row>
    <row r="302" spans="1:22" ht="14.25" customHeight="1" x14ac:dyDescent="0.3">
      <c r="V302" s="39"/>
    </row>
    <row r="303" spans="1:22" ht="14.25" customHeight="1" x14ac:dyDescent="0.3">
      <c r="I303" s="16">
        <f>SUBTOTAL(9,I2:I302)</f>
        <v>1037767</v>
      </c>
    </row>
    <row r="304" spans="1:22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autoFilter ref="A1:P302" xr:uid="{00000000-0001-0000-0000-000000000000}">
    <sortState xmlns:xlrd2="http://schemas.microsoft.com/office/spreadsheetml/2017/richdata2" ref="A2:P301">
      <sortCondition descending="1" ref="I1:I301"/>
    </sortState>
  </autoFilter>
  <sortState xmlns:xlrd2="http://schemas.microsoft.com/office/spreadsheetml/2017/richdata2" ref="A2:P1008">
    <sortCondition ref="A1:A1008"/>
  </sortState>
  <pageMargins left="0.7" right="0.7" top="0.75" bottom="0.75" header="0" footer="0"/>
  <pageSetup orientation="landscape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000"/>
  <sheetViews>
    <sheetView zoomScale="105" workbookViewId="0">
      <selection activeCell="E7" sqref="E7"/>
    </sheetView>
  </sheetViews>
  <sheetFormatPr defaultColWidth="14.44140625" defaultRowHeight="15" customHeight="1" x14ac:dyDescent="0.3"/>
  <cols>
    <col min="1" max="1" width="19.88671875" customWidth="1"/>
    <col min="2" max="2" width="13.44140625" customWidth="1"/>
    <col min="3" max="3" width="13.77734375" style="16" bestFit="1" customWidth="1"/>
    <col min="4" max="4" width="9.33203125" style="16" bestFit="1" customWidth="1"/>
    <col min="5" max="5" width="12" style="16" bestFit="1" customWidth="1"/>
    <col min="6" max="6" width="12" style="16" customWidth="1"/>
    <col min="7" max="7" width="14.21875" style="16" bestFit="1" customWidth="1"/>
    <col min="8" max="8" width="15.88671875" bestFit="1" customWidth="1"/>
    <col min="9" max="9" width="11.77734375" style="21" bestFit="1" customWidth="1"/>
    <col min="10" max="10" width="11" bestFit="1" customWidth="1"/>
    <col min="11" max="11" width="12.5546875" bestFit="1" customWidth="1"/>
    <col min="12" max="12" width="17.44140625" bestFit="1" customWidth="1"/>
    <col min="13" max="13" width="12.5546875" bestFit="1" customWidth="1"/>
    <col min="14" max="14" width="17.88671875" bestFit="1" customWidth="1"/>
    <col min="15" max="15" width="18.21875" bestFit="1" customWidth="1"/>
    <col min="16" max="16" width="16.21875" bestFit="1" customWidth="1"/>
    <col min="17" max="28" width="8.6640625" customWidth="1"/>
  </cols>
  <sheetData>
    <row r="1" spans="1:15" ht="14.25" customHeight="1" x14ac:dyDescent="0.3">
      <c r="A1" s="2" t="s">
        <v>338</v>
      </c>
      <c r="B1" s="2" t="s">
        <v>1</v>
      </c>
      <c r="C1" s="15" t="s">
        <v>339</v>
      </c>
      <c r="D1" s="15" t="s">
        <v>340</v>
      </c>
      <c r="E1" s="22" t="s">
        <v>362</v>
      </c>
      <c r="F1" s="22" t="s">
        <v>364</v>
      </c>
      <c r="G1" s="15" t="s">
        <v>341</v>
      </c>
      <c r="H1" s="2" t="s">
        <v>342</v>
      </c>
      <c r="I1" s="20" t="s">
        <v>343</v>
      </c>
      <c r="J1" t="str">
        <f>Post!I1</f>
        <v>Engagement</v>
      </c>
    </row>
    <row r="2" spans="1:15" ht="14.25" customHeight="1" x14ac:dyDescent="0.3">
      <c r="A2" s="3">
        <v>45446</v>
      </c>
      <c r="B2" s="2" t="s">
        <v>27</v>
      </c>
      <c r="C2" s="15">
        <v>1135</v>
      </c>
      <c r="D2" s="15">
        <v>88</v>
      </c>
      <c r="E2" s="15">
        <f>C2-D2</f>
        <v>1047</v>
      </c>
      <c r="F2" s="23">
        <f>(C2-D2)/(G2-(C2-D2))</f>
        <v>3.0521488935595868E-3</v>
      </c>
      <c r="G2" s="15">
        <v>344084</v>
      </c>
      <c r="H2" s="2">
        <v>8.06</v>
      </c>
      <c r="I2" s="20">
        <v>5904</v>
      </c>
      <c r="J2">
        <f>Post!I2</f>
        <v>1989</v>
      </c>
    </row>
    <row r="3" spans="1:15" ht="14.25" customHeight="1" x14ac:dyDescent="0.3">
      <c r="A3" s="3">
        <v>45446</v>
      </c>
      <c r="B3" s="2" t="s">
        <v>33</v>
      </c>
      <c r="C3" s="15">
        <v>1312</v>
      </c>
      <c r="D3" s="15">
        <v>310</v>
      </c>
      <c r="E3" s="15">
        <f t="shared" ref="E3:E66" si="0">C3-D3</f>
        <v>1002</v>
      </c>
      <c r="F3" s="23">
        <f t="shared" ref="F3:F66" si="1">(C3-D3)/(G3-(C3-D3))</f>
        <v>2.4056467876692595E-2</v>
      </c>
      <c r="G3" s="15">
        <v>42654</v>
      </c>
      <c r="H3" s="2">
        <v>4.9800000000000004</v>
      </c>
      <c r="I3" s="20">
        <v>9566</v>
      </c>
      <c r="J3">
        <f>Post!I3</f>
        <v>4936</v>
      </c>
    </row>
    <row r="4" spans="1:15" ht="14.25" customHeight="1" x14ac:dyDescent="0.3">
      <c r="A4" s="3">
        <v>45446</v>
      </c>
      <c r="B4" s="2" t="s">
        <v>14</v>
      </c>
      <c r="C4" s="15">
        <v>584</v>
      </c>
      <c r="D4" s="15">
        <v>169</v>
      </c>
      <c r="E4" s="15">
        <f t="shared" si="0"/>
        <v>415</v>
      </c>
      <c r="F4" s="23">
        <f t="shared" si="1"/>
        <v>2.8343316099686518E-3</v>
      </c>
      <c r="G4" s="15">
        <v>146834</v>
      </c>
      <c r="H4" s="2">
        <v>8.31</v>
      </c>
      <c r="I4" s="20">
        <v>26752</v>
      </c>
      <c r="J4">
        <f>Post!I4</f>
        <v>2949</v>
      </c>
    </row>
    <row r="5" spans="1:15" ht="14.25" customHeight="1" x14ac:dyDescent="0.3">
      <c r="A5" s="3">
        <v>45446</v>
      </c>
      <c r="B5" s="2" t="s">
        <v>25</v>
      </c>
      <c r="C5" s="15">
        <v>1535</v>
      </c>
      <c r="D5" s="15">
        <v>445</v>
      </c>
      <c r="E5" s="15">
        <f t="shared" si="0"/>
        <v>1090</v>
      </c>
      <c r="F5" s="23">
        <f t="shared" si="1"/>
        <v>2.7633693838953876E-3</v>
      </c>
      <c r="G5" s="15">
        <v>395536</v>
      </c>
      <c r="H5" s="2">
        <v>4.1100000000000003</v>
      </c>
      <c r="I5" s="20">
        <v>30671</v>
      </c>
      <c r="J5">
        <f>Post!I5</f>
        <v>2905</v>
      </c>
    </row>
    <row r="6" spans="1:15" ht="14.25" customHeight="1" x14ac:dyDescent="0.3">
      <c r="A6" s="3">
        <v>45453</v>
      </c>
      <c r="B6" s="2" t="s">
        <v>27</v>
      </c>
      <c r="C6" s="15">
        <v>656</v>
      </c>
      <c r="D6" s="15">
        <v>139</v>
      </c>
      <c r="E6" s="15">
        <f t="shared" si="0"/>
        <v>517</v>
      </c>
      <c r="F6" s="23">
        <f t="shared" si="1"/>
        <v>1.0629111842105262E-2</v>
      </c>
      <c r="G6" s="15">
        <v>49157</v>
      </c>
      <c r="H6" s="2">
        <v>9.0500000000000007</v>
      </c>
      <c r="I6" s="20">
        <v>9920</v>
      </c>
      <c r="J6">
        <f>Post!I6</f>
        <v>4668</v>
      </c>
    </row>
    <row r="7" spans="1:15" ht="14.25" customHeight="1" x14ac:dyDescent="0.3">
      <c r="A7" s="3">
        <v>45453</v>
      </c>
      <c r="B7" s="2" t="s">
        <v>33</v>
      </c>
      <c r="C7" s="15">
        <v>1697</v>
      </c>
      <c r="D7" s="15">
        <v>414</v>
      </c>
      <c r="E7" s="15">
        <f t="shared" si="0"/>
        <v>1283</v>
      </c>
      <c r="F7" s="23">
        <f t="shared" si="1"/>
        <v>4.06950189043112E-3</v>
      </c>
      <c r="G7" s="15">
        <v>316555</v>
      </c>
      <c r="H7" s="2">
        <v>2.37</v>
      </c>
      <c r="I7" s="20">
        <v>7924</v>
      </c>
      <c r="J7">
        <f>Post!I7</f>
        <v>4230</v>
      </c>
    </row>
    <row r="8" spans="1:15" ht="14.25" customHeight="1" x14ac:dyDescent="0.3">
      <c r="A8" s="3">
        <v>45453</v>
      </c>
      <c r="B8" s="2" t="s">
        <v>14</v>
      </c>
      <c r="C8" s="15">
        <v>436</v>
      </c>
      <c r="D8" s="15">
        <v>250</v>
      </c>
      <c r="E8" s="15">
        <f t="shared" si="0"/>
        <v>186</v>
      </c>
      <c r="F8" s="23">
        <f t="shared" si="1"/>
        <v>7.3181959466637287E-4</v>
      </c>
      <c r="G8" s="15">
        <v>254347</v>
      </c>
      <c r="H8" s="2">
        <v>4.01</v>
      </c>
      <c r="I8" s="20">
        <v>8912</v>
      </c>
      <c r="J8">
        <f>Post!I8</f>
        <v>4340</v>
      </c>
    </row>
    <row r="9" spans="1:15" ht="14.25" customHeight="1" x14ac:dyDescent="0.3">
      <c r="A9" s="3">
        <v>45453</v>
      </c>
      <c r="B9" s="2" t="s">
        <v>25</v>
      </c>
      <c r="C9" s="15">
        <v>1197</v>
      </c>
      <c r="D9" s="15">
        <v>203</v>
      </c>
      <c r="E9" s="15">
        <f t="shared" si="0"/>
        <v>994</v>
      </c>
      <c r="F9" s="23">
        <f t="shared" si="1"/>
        <v>2.4074558471628834E-3</v>
      </c>
      <c r="G9" s="15">
        <v>413878</v>
      </c>
      <c r="H9" s="2">
        <v>3.16</v>
      </c>
      <c r="I9" s="20">
        <v>21205</v>
      </c>
      <c r="J9">
        <f>Post!I9</f>
        <v>4469</v>
      </c>
    </row>
    <row r="10" spans="1:15" ht="14.25" customHeight="1" x14ac:dyDescent="0.3">
      <c r="A10" s="3">
        <v>45460</v>
      </c>
      <c r="B10" s="2" t="s">
        <v>27</v>
      </c>
      <c r="C10" s="15">
        <v>1048</v>
      </c>
      <c r="D10" s="15">
        <v>155</v>
      </c>
      <c r="E10" s="15">
        <f t="shared" si="0"/>
        <v>893</v>
      </c>
      <c r="F10" s="23">
        <f t="shared" si="1"/>
        <v>1.9581057464812205E-3</v>
      </c>
      <c r="G10" s="15">
        <v>456946</v>
      </c>
      <c r="H10" s="2">
        <v>2.46</v>
      </c>
      <c r="I10" s="20">
        <v>11329</v>
      </c>
      <c r="J10">
        <f>Post!I10</f>
        <v>4996</v>
      </c>
      <c r="M10" s="24"/>
      <c r="N10" s="25"/>
      <c r="O10" s="26"/>
    </row>
    <row r="11" spans="1:15" ht="14.25" customHeight="1" x14ac:dyDescent="0.3">
      <c r="A11" s="3">
        <v>45460</v>
      </c>
      <c r="B11" s="2" t="s">
        <v>33</v>
      </c>
      <c r="C11" s="15">
        <v>1753</v>
      </c>
      <c r="D11" s="15">
        <v>371</v>
      </c>
      <c r="E11" s="15">
        <f t="shared" si="0"/>
        <v>1382</v>
      </c>
      <c r="F11" s="23">
        <f t="shared" si="1"/>
        <v>8.2206122036237311E-3</v>
      </c>
      <c r="G11" s="15">
        <v>169496</v>
      </c>
      <c r="H11" s="2">
        <v>8.11</v>
      </c>
      <c r="I11" s="20">
        <v>46670</v>
      </c>
      <c r="J11">
        <f>Post!I11</f>
        <v>5190</v>
      </c>
      <c r="M11" s="27"/>
      <c r="N11" s="28"/>
      <c r="O11" s="29"/>
    </row>
    <row r="12" spans="1:15" ht="14.25" customHeight="1" x14ac:dyDescent="0.3">
      <c r="A12" s="3">
        <v>45460</v>
      </c>
      <c r="B12" s="2" t="s">
        <v>14</v>
      </c>
      <c r="C12" s="15">
        <v>1335</v>
      </c>
      <c r="D12" s="15">
        <v>40</v>
      </c>
      <c r="E12" s="15">
        <f t="shared" si="0"/>
        <v>1295</v>
      </c>
      <c r="F12" s="23">
        <f t="shared" si="1"/>
        <v>1.0663965677676491E-2</v>
      </c>
      <c r="G12" s="15">
        <v>122732</v>
      </c>
      <c r="H12" s="2">
        <v>8.19</v>
      </c>
      <c r="I12" s="20">
        <v>22482</v>
      </c>
      <c r="J12">
        <f>Post!I12</f>
        <v>2903</v>
      </c>
      <c r="M12" s="27"/>
      <c r="N12" s="28"/>
      <c r="O12" s="29"/>
    </row>
    <row r="13" spans="1:15" ht="14.25" customHeight="1" x14ac:dyDescent="0.3">
      <c r="A13" s="3">
        <v>45460</v>
      </c>
      <c r="B13" s="2" t="s">
        <v>25</v>
      </c>
      <c r="C13" s="15">
        <v>403</v>
      </c>
      <c r="D13" s="15">
        <v>66</v>
      </c>
      <c r="E13" s="15">
        <f t="shared" si="0"/>
        <v>337</v>
      </c>
      <c r="F13" s="23">
        <f t="shared" si="1"/>
        <v>8.810135053880381E-4</v>
      </c>
      <c r="G13" s="15">
        <v>382851</v>
      </c>
      <c r="H13" s="2">
        <v>3.49</v>
      </c>
      <c r="I13" s="20">
        <v>24313</v>
      </c>
      <c r="J13">
        <f>Post!I13</f>
        <v>3009</v>
      </c>
      <c r="M13" s="27"/>
      <c r="N13" s="28"/>
      <c r="O13" s="29"/>
    </row>
    <row r="14" spans="1:15" ht="14.25" customHeight="1" x14ac:dyDescent="0.3">
      <c r="A14" s="3">
        <v>45467</v>
      </c>
      <c r="B14" s="2" t="s">
        <v>27</v>
      </c>
      <c r="C14" s="15">
        <v>911</v>
      </c>
      <c r="D14" s="15">
        <v>282</v>
      </c>
      <c r="E14" s="15">
        <f t="shared" si="0"/>
        <v>629</v>
      </c>
      <c r="F14" s="23">
        <f t="shared" si="1"/>
        <v>1.7953475096332241E-2</v>
      </c>
      <c r="G14" s="15">
        <v>35664</v>
      </c>
      <c r="H14" s="2">
        <v>6.92</v>
      </c>
      <c r="I14" s="20">
        <v>18050</v>
      </c>
      <c r="J14">
        <f>Post!I14</f>
        <v>1688</v>
      </c>
      <c r="M14" s="27"/>
      <c r="N14" s="28"/>
      <c r="O14" s="29"/>
    </row>
    <row r="15" spans="1:15" ht="14.25" customHeight="1" x14ac:dyDescent="0.3">
      <c r="A15" s="3">
        <v>45467</v>
      </c>
      <c r="B15" s="2" t="s">
        <v>33</v>
      </c>
      <c r="C15" s="15">
        <v>1779</v>
      </c>
      <c r="D15" s="15">
        <v>109</v>
      </c>
      <c r="E15" s="15">
        <f t="shared" si="0"/>
        <v>1670</v>
      </c>
      <c r="F15" s="23">
        <f t="shared" si="1"/>
        <v>6.7817258883248729E-2</v>
      </c>
      <c r="G15" s="15">
        <v>26295</v>
      </c>
      <c r="H15" s="2">
        <v>9.1199999999999992</v>
      </c>
      <c r="I15" s="20">
        <v>30635</v>
      </c>
      <c r="J15">
        <f>Post!I15</f>
        <v>4928</v>
      </c>
      <c r="M15" s="27"/>
      <c r="N15" s="28"/>
      <c r="O15" s="29"/>
    </row>
    <row r="16" spans="1:15" ht="14.25" customHeight="1" x14ac:dyDescent="0.3">
      <c r="A16" s="3">
        <v>45467</v>
      </c>
      <c r="B16" s="2" t="s">
        <v>14</v>
      </c>
      <c r="C16" s="15">
        <v>1238</v>
      </c>
      <c r="D16" s="15">
        <v>403</v>
      </c>
      <c r="E16" s="15">
        <f t="shared" si="0"/>
        <v>835</v>
      </c>
      <c r="F16" s="23">
        <f t="shared" si="1"/>
        <v>2.8059115684205575E-3</v>
      </c>
      <c r="G16" s="15">
        <v>298421</v>
      </c>
      <c r="H16" s="2">
        <v>3.5</v>
      </c>
      <c r="I16" s="20">
        <v>31280</v>
      </c>
      <c r="J16">
        <f>Post!I16</f>
        <v>4620</v>
      </c>
      <c r="M16" s="27"/>
      <c r="N16" s="28"/>
      <c r="O16" s="29"/>
    </row>
    <row r="17" spans="1:15" ht="14.25" customHeight="1" x14ac:dyDescent="0.3">
      <c r="A17" s="3">
        <v>45467</v>
      </c>
      <c r="B17" s="2" t="s">
        <v>25</v>
      </c>
      <c r="C17" s="15">
        <v>308</v>
      </c>
      <c r="D17" s="15">
        <v>431</v>
      </c>
      <c r="E17" s="15">
        <f t="shared" si="0"/>
        <v>-123</v>
      </c>
      <c r="F17" s="23">
        <f t="shared" si="1"/>
        <v>-2.8852446710938363E-4</v>
      </c>
      <c r="G17" s="15">
        <v>426184</v>
      </c>
      <c r="H17" s="2">
        <v>2.62</v>
      </c>
      <c r="I17" s="20">
        <v>1783</v>
      </c>
      <c r="J17">
        <f>Post!I17</f>
        <v>4189</v>
      </c>
      <c r="M17" s="27"/>
      <c r="N17" s="28"/>
      <c r="O17" s="29"/>
    </row>
    <row r="18" spans="1:15" ht="14.25" customHeight="1" x14ac:dyDescent="0.3">
      <c r="A18" s="3">
        <v>45474</v>
      </c>
      <c r="B18" s="2" t="s">
        <v>27</v>
      </c>
      <c r="C18" s="15">
        <v>226</v>
      </c>
      <c r="D18" s="15">
        <v>445</v>
      </c>
      <c r="E18" s="15">
        <f t="shared" si="0"/>
        <v>-219</v>
      </c>
      <c r="F18" s="23">
        <f t="shared" si="1"/>
        <v>-5.2184356130827853E-4</v>
      </c>
      <c r="G18" s="15">
        <v>419447</v>
      </c>
      <c r="H18" s="2">
        <v>9.36</v>
      </c>
      <c r="I18" s="20">
        <v>9566</v>
      </c>
      <c r="J18">
        <f>Post!I18</f>
        <v>5022</v>
      </c>
      <c r="M18" s="27"/>
      <c r="N18" s="28"/>
      <c r="O18" s="29"/>
    </row>
    <row r="19" spans="1:15" ht="14.25" customHeight="1" x14ac:dyDescent="0.3">
      <c r="A19" s="3">
        <v>45474</v>
      </c>
      <c r="B19" s="2" t="s">
        <v>33</v>
      </c>
      <c r="C19" s="15">
        <v>505</v>
      </c>
      <c r="D19" s="15">
        <v>441</v>
      </c>
      <c r="E19" s="15">
        <f t="shared" si="0"/>
        <v>64</v>
      </c>
      <c r="F19" s="23">
        <f t="shared" si="1"/>
        <v>2.9096728436596409E-4</v>
      </c>
      <c r="G19" s="15">
        <v>220020</v>
      </c>
      <c r="H19" s="2">
        <v>4.4800000000000004</v>
      </c>
      <c r="I19" s="20">
        <v>42307</v>
      </c>
      <c r="J19">
        <f>Post!I19</f>
        <v>3707</v>
      </c>
      <c r="M19" s="27"/>
      <c r="N19" s="28"/>
      <c r="O19" s="29"/>
    </row>
    <row r="20" spans="1:15" ht="14.25" customHeight="1" x14ac:dyDescent="0.3">
      <c r="A20" s="3">
        <v>45474</v>
      </c>
      <c r="B20" s="2" t="s">
        <v>14</v>
      </c>
      <c r="C20" s="15">
        <v>1420</v>
      </c>
      <c r="D20" s="15">
        <v>63</v>
      </c>
      <c r="E20" s="15">
        <f t="shared" si="0"/>
        <v>1357</v>
      </c>
      <c r="F20" s="23">
        <f t="shared" si="1"/>
        <v>4.3223718577598842E-3</v>
      </c>
      <c r="G20" s="15">
        <v>315305</v>
      </c>
      <c r="H20" s="2">
        <v>6.19</v>
      </c>
      <c r="I20" s="20">
        <v>5914</v>
      </c>
      <c r="J20">
        <f>Post!I20</f>
        <v>1612</v>
      </c>
      <c r="M20" s="27"/>
      <c r="N20" s="28"/>
      <c r="O20" s="29"/>
    </row>
    <row r="21" spans="1:15" ht="14.25" customHeight="1" x14ac:dyDescent="0.3">
      <c r="A21" s="3">
        <v>45474</v>
      </c>
      <c r="B21" s="2" t="s">
        <v>25</v>
      </c>
      <c r="C21" s="15">
        <v>144</v>
      </c>
      <c r="D21" s="15">
        <v>53</v>
      </c>
      <c r="E21" s="15">
        <f t="shared" si="0"/>
        <v>91</v>
      </c>
      <c r="F21" s="23">
        <f t="shared" si="1"/>
        <v>8.0114801869932302E-4</v>
      </c>
      <c r="G21" s="15">
        <v>113678</v>
      </c>
      <c r="H21" s="2">
        <v>8.7200000000000006</v>
      </c>
      <c r="I21" s="20">
        <v>30060</v>
      </c>
      <c r="J21">
        <f>Post!I21</f>
        <v>4915</v>
      </c>
      <c r="M21" s="27"/>
      <c r="N21" s="28"/>
      <c r="O21" s="29"/>
    </row>
    <row r="22" spans="1:15" ht="14.25" customHeight="1" x14ac:dyDescent="0.3">
      <c r="A22" s="3">
        <v>45481</v>
      </c>
      <c r="B22" s="2" t="s">
        <v>27</v>
      </c>
      <c r="C22" s="15">
        <v>1757</v>
      </c>
      <c r="D22" s="15">
        <v>85</v>
      </c>
      <c r="E22" s="15">
        <f t="shared" si="0"/>
        <v>1672</v>
      </c>
      <c r="F22" s="23">
        <f t="shared" si="1"/>
        <v>2.9566232250534917E-2</v>
      </c>
      <c r="G22" s="15">
        <v>58223</v>
      </c>
      <c r="H22" s="2">
        <v>8.74</v>
      </c>
      <c r="I22" s="20">
        <v>22728</v>
      </c>
      <c r="J22">
        <f>Post!I22</f>
        <v>5606</v>
      </c>
      <c r="M22" s="27"/>
      <c r="N22" s="28"/>
      <c r="O22" s="29"/>
    </row>
    <row r="23" spans="1:15" ht="14.25" customHeight="1" x14ac:dyDescent="0.3">
      <c r="A23" s="3">
        <v>45481</v>
      </c>
      <c r="B23" s="2" t="s">
        <v>33</v>
      </c>
      <c r="C23" s="15">
        <v>350</v>
      </c>
      <c r="D23" s="15">
        <v>41</v>
      </c>
      <c r="E23" s="15">
        <f t="shared" si="0"/>
        <v>309</v>
      </c>
      <c r="F23" s="23">
        <f t="shared" si="1"/>
        <v>1.2291902858165761E-3</v>
      </c>
      <c r="G23" s="15">
        <v>251694</v>
      </c>
      <c r="H23" s="2">
        <v>1.91</v>
      </c>
      <c r="I23" s="20">
        <v>38610</v>
      </c>
      <c r="J23">
        <f>Post!I23</f>
        <v>2017</v>
      </c>
      <c r="M23" s="27"/>
      <c r="N23" s="28"/>
      <c r="O23" s="29"/>
    </row>
    <row r="24" spans="1:15" ht="14.25" customHeight="1" x14ac:dyDescent="0.3">
      <c r="A24" s="3">
        <v>45481</v>
      </c>
      <c r="B24" s="2" t="s">
        <v>14</v>
      </c>
      <c r="C24" s="15">
        <v>987</v>
      </c>
      <c r="D24" s="15">
        <v>440</v>
      </c>
      <c r="E24" s="15">
        <f t="shared" si="0"/>
        <v>547</v>
      </c>
      <c r="F24" s="23">
        <f t="shared" si="1"/>
        <v>1.4052196073091972E-3</v>
      </c>
      <c r="G24" s="15">
        <v>389810</v>
      </c>
      <c r="H24" s="2">
        <v>4.66</v>
      </c>
      <c r="I24" s="20">
        <v>2932</v>
      </c>
      <c r="J24">
        <f>Post!I24</f>
        <v>2469</v>
      </c>
      <c r="M24" s="27"/>
      <c r="N24" s="28"/>
      <c r="O24" s="29"/>
    </row>
    <row r="25" spans="1:15" ht="14.25" customHeight="1" x14ac:dyDescent="0.3">
      <c r="A25" s="3">
        <v>45481</v>
      </c>
      <c r="B25" s="2" t="s">
        <v>25</v>
      </c>
      <c r="C25" s="15">
        <v>883</v>
      </c>
      <c r="D25" s="15">
        <v>369</v>
      </c>
      <c r="E25" s="15">
        <f t="shared" si="0"/>
        <v>514</v>
      </c>
      <c r="F25" s="23">
        <f t="shared" si="1"/>
        <v>2.2043056865940474E-3</v>
      </c>
      <c r="G25" s="15">
        <v>233694</v>
      </c>
      <c r="H25" s="2">
        <v>2.88</v>
      </c>
      <c r="I25" s="20">
        <v>15071</v>
      </c>
      <c r="J25">
        <f>Post!I25</f>
        <v>4853</v>
      </c>
      <c r="M25" s="27"/>
      <c r="N25" s="28"/>
      <c r="O25" s="29"/>
    </row>
    <row r="26" spans="1:15" ht="14.25" customHeight="1" x14ac:dyDescent="0.3">
      <c r="A26" s="3">
        <v>45488</v>
      </c>
      <c r="B26" s="2" t="s">
        <v>27</v>
      </c>
      <c r="C26" s="15">
        <v>1960</v>
      </c>
      <c r="D26" s="15">
        <v>115</v>
      </c>
      <c r="E26" s="15">
        <f t="shared" si="0"/>
        <v>1845</v>
      </c>
      <c r="F26" s="23">
        <f t="shared" si="1"/>
        <v>1.2112339486883223E-2</v>
      </c>
      <c r="G26" s="15">
        <v>154169</v>
      </c>
      <c r="H26" s="2">
        <v>3.74</v>
      </c>
      <c r="I26" s="20">
        <v>10740</v>
      </c>
      <c r="J26">
        <f>Post!I26</f>
        <v>3536</v>
      </c>
      <c r="M26" s="27"/>
      <c r="N26" s="28"/>
      <c r="O26" s="29"/>
    </row>
    <row r="27" spans="1:15" ht="14.25" customHeight="1" x14ac:dyDescent="0.3">
      <c r="A27" s="3">
        <v>45488</v>
      </c>
      <c r="B27" s="2" t="s">
        <v>33</v>
      </c>
      <c r="C27" s="15">
        <v>170</v>
      </c>
      <c r="D27" s="15">
        <v>334</v>
      </c>
      <c r="E27" s="15">
        <f t="shared" si="0"/>
        <v>-164</v>
      </c>
      <c r="F27" s="23">
        <f t="shared" si="1"/>
        <v>-4.8985931479434872E-4</v>
      </c>
      <c r="G27" s="15">
        <v>334626</v>
      </c>
      <c r="H27" s="2">
        <v>6.44</v>
      </c>
      <c r="I27" s="20">
        <v>43420</v>
      </c>
      <c r="J27">
        <f>Post!I27</f>
        <v>3780</v>
      </c>
      <c r="M27" s="30"/>
      <c r="N27" s="31"/>
      <c r="O27" s="32"/>
    </row>
    <row r="28" spans="1:15" ht="14.25" customHeight="1" x14ac:dyDescent="0.3">
      <c r="A28" s="3">
        <v>45488</v>
      </c>
      <c r="B28" s="2" t="s">
        <v>14</v>
      </c>
      <c r="C28" s="15">
        <v>704</v>
      </c>
      <c r="D28" s="15">
        <v>275</v>
      </c>
      <c r="E28" s="15">
        <f t="shared" si="0"/>
        <v>429</v>
      </c>
      <c r="F28" s="23">
        <f t="shared" si="1"/>
        <v>1.9018233565187323E-3</v>
      </c>
      <c r="G28" s="15">
        <v>226002</v>
      </c>
      <c r="H28" s="2">
        <v>8.56</v>
      </c>
      <c r="I28" s="20">
        <v>32393</v>
      </c>
      <c r="J28">
        <f>Post!I28</f>
        <v>2375</v>
      </c>
    </row>
    <row r="29" spans="1:15" ht="14.25" customHeight="1" x14ac:dyDescent="0.3">
      <c r="A29" s="3">
        <v>45488</v>
      </c>
      <c r="B29" s="2" t="s">
        <v>25</v>
      </c>
      <c r="C29" s="15">
        <v>224</v>
      </c>
      <c r="D29" s="15">
        <v>64</v>
      </c>
      <c r="E29" s="15">
        <f t="shared" si="0"/>
        <v>160</v>
      </c>
      <c r="F29" s="23">
        <f t="shared" si="1"/>
        <v>1.0222139877206545E-3</v>
      </c>
      <c r="G29" s="15">
        <v>156683</v>
      </c>
      <c r="H29" s="2">
        <v>4.5599999999999996</v>
      </c>
      <c r="I29" s="20">
        <v>28474</v>
      </c>
      <c r="J29">
        <f>Post!I29</f>
        <v>1179</v>
      </c>
    </row>
    <row r="30" spans="1:15" ht="14.25" customHeight="1" x14ac:dyDescent="0.3">
      <c r="A30" s="3">
        <v>45495</v>
      </c>
      <c r="B30" s="2" t="s">
        <v>27</v>
      </c>
      <c r="C30" s="15">
        <v>508</v>
      </c>
      <c r="D30" s="15">
        <v>349</v>
      </c>
      <c r="E30" s="15">
        <f t="shared" si="0"/>
        <v>159</v>
      </c>
      <c r="F30" s="23">
        <f t="shared" si="1"/>
        <v>3.3568878482771145E-4</v>
      </c>
      <c r="G30" s="15">
        <v>473812</v>
      </c>
      <c r="H30" s="2">
        <v>7.88</v>
      </c>
      <c r="I30" s="20">
        <v>17328</v>
      </c>
      <c r="J30">
        <f>Post!I30</f>
        <v>2721</v>
      </c>
    </row>
    <row r="31" spans="1:15" ht="14.25" customHeight="1" x14ac:dyDescent="0.3">
      <c r="A31" s="3">
        <v>45495</v>
      </c>
      <c r="B31" s="2" t="s">
        <v>33</v>
      </c>
      <c r="C31" s="15">
        <v>1391</v>
      </c>
      <c r="D31" s="15">
        <v>430</v>
      </c>
      <c r="E31" s="15">
        <f t="shared" si="0"/>
        <v>961</v>
      </c>
      <c r="F31" s="23">
        <f t="shared" si="1"/>
        <v>3.2679182918410859E-3</v>
      </c>
      <c r="G31" s="15">
        <v>295032</v>
      </c>
      <c r="H31" s="2">
        <v>7.86</v>
      </c>
      <c r="I31" s="20">
        <v>26067</v>
      </c>
      <c r="J31">
        <f>Post!I31</f>
        <v>3212</v>
      </c>
    </row>
    <row r="32" spans="1:15" ht="14.25" customHeight="1" x14ac:dyDescent="0.3">
      <c r="A32" s="3">
        <v>45495</v>
      </c>
      <c r="B32" s="2" t="s">
        <v>14</v>
      </c>
      <c r="C32" s="15">
        <v>1701</v>
      </c>
      <c r="D32" s="15">
        <v>385</v>
      </c>
      <c r="E32" s="15">
        <f t="shared" si="0"/>
        <v>1316</v>
      </c>
      <c r="F32" s="23">
        <f t="shared" si="1"/>
        <v>6.6814918613742752E-3</v>
      </c>
      <c r="G32" s="15">
        <v>198278</v>
      </c>
      <c r="H32" s="2">
        <v>5.34</v>
      </c>
      <c r="I32" s="20">
        <v>32763</v>
      </c>
      <c r="J32">
        <f>Post!I32</f>
        <v>866</v>
      </c>
    </row>
    <row r="33" spans="1:10" ht="14.25" customHeight="1" x14ac:dyDescent="0.3">
      <c r="A33" s="3">
        <v>45495</v>
      </c>
      <c r="B33" s="2" t="s">
        <v>25</v>
      </c>
      <c r="C33" s="15">
        <v>804</v>
      </c>
      <c r="D33" s="15">
        <v>487</v>
      </c>
      <c r="E33" s="15">
        <f t="shared" si="0"/>
        <v>317</v>
      </c>
      <c r="F33" s="23">
        <f t="shared" si="1"/>
        <v>1.0351121806907496E-3</v>
      </c>
      <c r="G33" s="15">
        <v>306564</v>
      </c>
      <c r="H33" s="2">
        <v>5.52</v>
      </c>
      <c r="I33" s="20">
        <v>26452</v>
      </c>
      <c r="J33">
        <f>Post!I33</f>
        <v>2609</v>
      </c>
    </row>
    <row r="34" spans="1:10" ht="14.25" customHeight="1" x14ac:dyDescent="0.3">
      <c r="A34" s="3">
        <v>45502</v>
      </c>
      <c r="B34" s="2" t="s">
        <v>27</v>
      </c>
      <c r="C34" s="15">
        <v>653</v>
      </c>
      <c r="D34" s="15">
        <v>112</v>
      </c>
      <c r="E34" s="15">
        <f t="shared" si="0"/>
        <v>541</v>
      </c>
      <c r="F34" s="23">
        <f t="shared" si="1"/>
        <v>2.3396618085888509E-2</v>
      </c>
      <c r="G34" s="15">
        <v>23664</v>
      </c>
      <c r="H34" s="2">
        <v>4.05</v>
      </c>
      <c r="I34" s="20">
        <v>15353</v>
      </c>
      <c r="J34">
        <f>Post!I34</f>
        <v>2158</v>
      </c>
    </row>
    <row r="35" spans="1:10" ht="14.25" customHeight="1" x14ac:dyDescent="0.3">
      <c r="A35" s="3">
        <v>45502</v>
      </c>
      <c r="B35" s="2" t="s">
        <v>33</v>
      </c>
      <c r="C35" s="15">
        <v>160</v>
      </c>
      <c r="D35" s="15">
        <v>478</v>
      </c>
      <c r="E35" s="15">
        <f t="shared" si="0"/>
        <v>-318</v>
      </c>
      <c r="F35" s="23">
        <f t="shared" si="1"/>
        <v>-7.3044341130855037E-4</v>
      </c>
      <c r="G35" s="15">
        <v>435034</v>
      </c>
      <c r="H35" s="2">
        <v>7.73</v>
      </c>
      <c r="I35" s="20">
        <v>4839</v>
      </c>
      <c r="J35">
        <f>Post!I35</f>
        <v>2098</v>
      </c>
    </row>
    <row r="36" spans="1:10" ht="14.25" customHeight="1" x14ac:dyDescent="0.3">
      <c r="A36" s="3">
        <v>45502</v>
      </c>
      <c r="B36" s="2" t="s">
        <v>14</v>
      </c>
      <c r="C36" s="15">
        <v>1756</v>
      </c>
      <c r="D36" s="15">
        <v>261</v>
      </c>
      <c r="E36" s="15">
        <f t="shared" si="0"/>
        <v>1495</v>
      </c>
      <c r="F36" s="23">
        <f t="shared" si="1"/>
        <v>5.2258292289891952E-3</v>
      </c>
      <c r="G36" s="15">
        <v>287574</v>
      </c>
      <c r="H36" s="2">
        <v>4.3600000000000003</v>
      </c>
      <c r="I36" s="20">
        <v>39272</v>
      </c>
      <c r="J36">
        <f>Post!I36</f>
        <v>4030</v>
      </c>
    </row>
    <row r="37" spans="1:10" ht="14.25" customHeight="1" x14ac:dyDescent="0.3">
      <c r="A37" s="3">
        <v>45502</v>
      </c>
      <c r="B37" s="2" t="s">
        <v>25</v>
      </c>
      <c r="C37" s="15">
        <v>576</v>
      </c>
      <c r="D37" s="15">
        <v>101</v>
      </c>
      <c r="E37" s="15">
        <f t="shared" si="0"/>
        <v>475</v>
      </c>
      <c r="F37" s="23">
        <f t="shared" si="1"/>
        <v>7.6583258093641171E-3</v>
      </c>
      <c r="G37" s="15">
        <v>62499</v>
      </c>
      <c r="H37" s="2">
        <v>3.48</v>
      </c>
      <c r="I37" s="20">
        <v>16804</v>
      </c>
      <c r="J37">
        <f>Post!I37</f>
        <v>5186</v>
      </c>
    </row>
    <row r="38" spans="1:10" ht="14.25" customHeight="1" x14ac:dyDescent="0.3">
      <c r="A38" s="3">
        <v>45509</v>
      </c>
      <c r="B38" s="2" t="s">
        <v>27</v>
      </c>
      <c r="C38" s="15">
        <v>645</v>
      </c>
      <c r="D38" s="15">
        <v>293</v>
      </c>
      <c r="E38" s="15">
        <f t="shared" si="0"/>
        <v>352</v>
      </c>
      <c r="F38" s="23">
        <f t="shared" si="1"/>
        <v>8.0435815875105118E-4</v>
      </c>
      <c r="G38" s="15">
        <v>437968</v>
      </c>
      <c r="H38" s="2">
        <v>7.83</v>
      </c>
      <c r="I38" s="20">
        <v>49303</v>
      </c>
      <c r="J38">
        <f>Post!I38</f>
        <v>4299</v>
      </c>
    </row>
    <row r="39" spans="1:10" ht="14.25" customHeight="1" x14ac:dyDescent="0.3">
      <c r="A39" s="3">
        <v>45509</v>
      </c>
      <c r="B39" s="2" t="s">
        <v>33</v>
      </c>
      <c r="C39" s="15">
        <v>214</v>
      </c>
      <c r="D39" s="15">
        <v>411</v>
      </c>
      <c r="E39" s="15">
        <f t="shared" si="0"/>
        <v>-197</v>
      </c>
      <c r="F39" s="23">
        <f t="shared" si="1"/>
        <v>-1.573092924275938E-3</v>
      </c>
      <c r="G39" s="15">
        <v>125034</v>
      </c>
      <c r="H39" s="2">
        <v>6.11</v>
      </c>
      <c r="I39" s="20">
        <v>26455</v>
      </c>
      <c r="J39">
        <f>Post!I39</f>
        <v>3552</v>
      </c>
    </row>
    <row r="40" spans="1:10" ht="14.25" customHeight="1" x14ac:dyDescent="0.3">
      <c r="A40" s="3">
        <v>45509</v>
      </c>
      <c r="B40" s="2" t="s">
        <v>14</v>
      </c>
      <c r="C40" s="15">
        <v>826</v>
      </c>
      <c r="D40" s="15">
        <v>498</v>
      </c>
      <c r="E40" s="15">
        <f t="shared" si="0"/>
        <v>328</v>
      </c>
      <c r="F40" s="23">
        <f t="shared" si="1"/>
        <v>7.294302882583962E-4</v>
      </c>
      <c r="G40" s="15">
        <v>449994</v>
      </c>
      <c r="H40" s="2">
        <v>9.43</v>
      </c>
      <c r="I40" s="20">
        <v>12384</v>
      </c>
      <c r="J40">
        <f>Post!I40</f>
        <v>4370</v>
      </c>
    </row>
    <row r="41" spans="1:10" ht="14.25" customHeight="1" x14ac:dyDescent="0.3">
      <c r="A41" s="3">
        <v>45509</v>
      </c>
      <c r="B41" s="2" t="s">
        <v>25</v>
      </c>
      <c r="C41" s="15">
        <v>460</v>
      </c>
      <c r="D41" s="15">
        <v>141</v>
      </c>
      <c r="E41" s="15">
        <f t="shared" si="0"/>
        <v>319</v>
      </c>
      <c r="F41" s="23">
        <f t="shared" si="1"/>
        <v>9.9584492290786717E-4</v>
      </c>
      <c r="G41" s="15">
        <v>320650</v>
      </c>
      <c r="H41" s="2">
        <v>4.04</v>
      </c>
      <c r="I41" s="20">
        <v>49372</v>
      </c>
      <c r="J41">
        <f>Post!I41</f>
        <v>5316</v>
      </c>
    </row>
    <row r="42" spans="1:10" ht="14.25" customHeight="1" x14ac:dyDescent="0.3">
      <c r="A42" s="3">
        <v>45516</v>
      </c>
      <c r="B42" s="2" t="s">
        <v>27</v>
      </c>
      <c r="C42" s="15">
        <v>1528</v>
      </c>
      <c r="D42" s="15">
        <v>203</v>
      </c>
      <c r="E42" s="15">
        <f t="shared" si="0"/>
        <v>1325</v>
      </c>
      <c r="F42" s="23">
        <f t="shared" si="1"/>
        <v>2.7159263973697534E-3</v>
      </c>
      <c r="G42" s="15">
        <v>489188</v>
      </c>
      <c r="H42" s="2">
        <v>6.23</v>
      </c>
      <c r="I42" s="20">
        <v>47101</v>
      </c>
      <c r="J42">
        <f>Post!I42</f>
        <v>1513</v>
      </c>
    </row>
    <row r="43" spans="1:10" ht="14.25" customHeight="1" x14ac:dyDescent="0.3">
      <c r="A43" s="3">
        <v>45516</v>
      </c>
      <c r="B43" s="2" t="s">
        <v>33</v>
      </c>
      <c r="C43" s="15">
        <v>1534</v>
      </c>
      <c r="D43" s="15">
        <v>200</v>
      </c>
      <c r="E43" s="15">
        <f t="shared" si="0"/>
        <v>1334</v>
      </c>
      <c r="F43" s="23">
        <f t="shared" si="1"/>
        <v>4.3555201483619459E-3</v>
      </c>
      <c r="G43" s="15">
        <v>307612</v>
      </c>
      <c r="H43" s="2">
        <v>6.01</v>
      </c>
      <c r="I43" s="20">
        <v>37903</v>
      </c>
      <c r="J43">
        <f>Post!I43</f>
        <v>2696</v>
      </c>
    </row>
    <row r="44" spans="1:10" ht="14.25" customHeight="1" x14ac:dyDescent="0.3">
      <c r="A44" s="3">
        <v>45516</v>
      </c>
      <c r="B44" s="2" t="s">
        <v>14</v>
      </c>
      <c r="C44" s="15">
        <v>485</v>
      </c>
      <c r="D44" s="15">
        <v>448</v>
      </c>
      <c r="E44" s="15">
        <f t="shared" si="0"/>
        <v>37</v>
      </c>
      <c r="F44" s="23">
        <f t="shared" si="1"/>
        <v>8.5087594228761446E-5</v>
      </c>
      <c r="G44" s="15">
        <v>434883</v>
      </c>
      <c r="H44" s="2">
        <v>8.5500000000000007</v>
      </c>
      <c r="I44" s="20">
        <v>33258</v>
      </c>
      <c r="J44">
        <f>Post!I44</f>
        <v>2847</v>
      </c>
    </row>
    <row r="45" spans="1:10" ht="14.25" customHeight="1" x14ac:dyDescent="0.3">
      <c r="A45" s="3">
        <v>45516</v>
      </c>
      <c r="B45" s="2" t="s">
        <v>25</v>
      </c>
      <c r="C45" s="15">
        <v>1210</v>
      </c>
      <c r="D45" s="15">
        <v>178</v>
      </c>
      <c r="E45" s="15">
        <f t="shared" si="0"/>
        <v>1032</v>
      </c>
      <c r="F45" s="23">
        <f t="shared" si="1"/>
        <v>1.0216810216810217E-2</v>
      </c>
      <c r="G45" s="15">
        <v>102042</v>
      </c>
      <c r="H45" s="2">
        <v>5.42</v>
      </c>
      <c r="I45" s="20">
        <v>6915</v>
      </c>
      <c r="J45">
        <f>Post!I45</f>
        <v>3486</v>
      </c>
    </row>
    <row r="46" spans="1:10" ht="14.25" customHeight="1" x14ac:dyDescent="0.3">
      <c r="A46" s="3">
        <v>45523</v>
      </c>
      <c r="B46" s="2" t="s">
        <v>27</v>
      </c>
      <c r="C46" s="15">
        <v>215</v>
      </c>
      <c r="D46" s="15">
        <v>139</v>
      </c>
      <c r="E46" s="15">
        <f t="shared" si="0"/>
        <v>76</v>
      </c>
      <c r="F46" s="23">
        <f t="shared" si="1"/>
        <v>2.3358166752723071E-4</v>
      </c>
      <c r="G46" s="15">
        <v>325444</v>
      </c>
      <c r="H46" s="2">
        <v>3.25</v>
      </c>
      <c r="I46" s="20">
        <v>35501</v>
      </c>
      <c r="J46">
        <f>Post!I46</f>
        <v>3804</v>
      </c>
    </row>
    <row r="47" spans="1:10" ht="14.25" customHeight="1" x14ac:dyDescent="0.3">
      <c r="A47" s="3">
        <v>45523</v>
      </c>
      <c r="B47" s="2" t="s">
        <v>33</v>
      </c>
      <c r="C47" s="15">
        <v>1078</v>
      </c>
      <c r="D47" s="15">
        <v>20</v>
      </c>
      <c r="E47" s="15">
        <f t="shared" si="0"/>
        <v>1058</v>
      </c>
      <c r="F47" s="23">
        <f t="shared" si="1"/>
        <v>5.7856572572266033E-3</v>
      </c>
      <c r="G47" s="15">
        <v>183924</v>
      </c>
      <c r="H47" s="2">
        <v>8.84</v>
      </c>
      <c r="I47" s="20">
        <v>14203</v>
      </c>
      <c r="J47">
        <f>Post!I47</f>
        <v>1497</v>
      </c>
    </row>
    <row r="48" spans="1:10" ht="14.25" customHeight="1" x14ac:dyDescent="0.3">
      <c r="A48" s="3">
        <v>45523</v>
      </c>
      <c r="B48" s="2" t="s">
        <v>14</v>
      </c>
      <c r="C48" s="15">
        <v>1751</v>
      </c>
      <c r="D48" s="15">
        <v>86</v>
      </c>
      <c r="E48" s="15">
        <f t="shared" si="0"/>
        <v>1665</v>
      </c>
      <c r="F48" s="23">
        <f t="shared" si="1"/>
        <v>8.9042194769773791E-3</v>
      </c>
      <c r="G48" s="15">
        <v>188655</v>
      </c>
      <c r="H48" s="2">
        <v>7.24</v>
      </c>
      <c r="I48" s="20">
        <v>22206</v>
      </c>
      <c r="J48">
        <f>Post!I48</f>
        <v>3609</v>
      </c>
    </row>
    <row r="49" spans="1:10" ht="14.25" customHeight="1" x14ac:dyDescent="0.3">
      <c r="A49" s="3">
        <v>45523</v>
      </c>
      <c r="B49" s="2" t="s">
        <v>25</v>
      </c>
      <c r="C49" s="15">
        <v>221</v>
      </c>
      <c r="D49" s="15">
        <v>31</v>
      </c>
      <c r="E49" s="15">
        <f t="shared" si="0"/>
        <v>190</v>
      </c>
      <c r="F49" s="23">
        <f t="shared" si="1"/>
        <v>2.1775755561413363E-3</v>
      </c>
      <c r="G49" s="15">
        <v>87443</v>
      </c>
      <c r="H49" s="2">
        <v>6.19</v>
      </c>
      <c r="I49" s="20">
        <v>10283</v>
      </c>
      <c r="J49">
        <f>Post!I49</f>
        <v>2723</v>
      </c>
    </row>
    <row r="50" spans="1:10" ht="14.25" customHeight="1" x14ac:dyDescent="0.3">
      <c r="A50" s="3">
        <v>45530</v>
      </c>
      <c r="B50" s="2" t="s">
        <v>27</v>
      </c>
      <c r="C50" s="15">
        <v>1685</v>
      </c>
      <c r="D50" s="15">
        <v>76</v>
      </c>
      <c r="E50" s="15">
        <f t="shared" si="0"/>
        <v>1609</v>
      </c>
      <c r="F50" s="23">
        <f t="shared" si="1"/>
        <v>3.5582387934275416E-3</v>
      </c>
      <c r="G50" s="15">
        <v>453799</v>
      </c>
      <c r="H50" s="2">
        <v>5.71</v>
      </c>
      <c r="I50" s="20">
        <v>24913</v>
      </c>
      <c r="J50">
        <f>Post!I50</f>
        <v>2987</v>
      </c>
    </row>
    <row r="51" spans="1:10" ht="14.25" customHeight="1" x14ac:dyDescent="0.3">
      <c r="A51" s="3">
        <v>45530</v>
      </c>
      <c r="B51" s="2" t="s">
        <v>33</v>
      </c>
      <c r="C51" s="15">
        <v>248</v>
      </c>
      <c r="D51" s="15">
        <v>211</v>
      </c>
      <c r="E51" s="15">
        <f t="shared" si="0"/>
        <v>37</v>
      </c>
      <c r="F51" s="23">
        <f t="shared" si="1"/>
        <v>9.7537057491505044E-5</v>
      </c>
      <c r="G51" s="15">
        <v>379380</v>
      </c>
      <c r="H51" s="2">
        <v>9.0399999999999991</v>
      </c>
      <c r="I51" s="20">
        <v>26925</v>
      </c>
      <c r="J51">
        <f>Post!I51</f>
        <v>2974</v>
      </c>
    </row>
    <row r="52" spans="1:10" ht="14.25" customHeight="1" x14ac:dyDescent="0.3">
      <c r="A52" s="3">
        <v>45530</v>
      </c>
      <c r="B52" s="2" t="s">
        <v>14</v>
      </c>
      <c r="C52" s="15">
        <v>1300</v>
      </c>
      <c r="D52" s="15">
        <v>71</v>
      </c>
      <c r="E52" s="15">
        <f t="shared" si="0"/>
        <v>1229</v>
      </c>
      <c r="F52" s="23">
        <f t="shared" si="1"/>
        <v>6.6351734377108921E-3</v>
      </c>
      <c r="G52" s="15">
        <v>186454</v>
      </c>
      <c r="H52" s="2">
        <v>3.91</v>
      </c>
      <c r="I52" s="20">
        <v>9942</v>
      </c>
      <c r="J52">
        <f>Post!I52</f>
        <v>2943</v>
      </c>
    </row>
    <row r="53" spans="1:10" ht="14.25" customHeight="1" x14ac:dyDescent="0.3">
      <c r="A53" s="3">
        <v>45530</v>
      </c>
      <c r="B53" s="2" t="s">
        <v>25</v>
      </c>
      <c r="C53" s="15">
        <v>422</v>
      </c>
      <c r="D53" s="15">
        <v>394</v>
      </c>
      <c r="E53" s="15">
        <f t="shared" si="0"/>
        <v>28</v>
      </c>
      <c r="F53" s="23">
        <f t="shared" si="1"/>
        <v>1.1714696924055294E-4</v>
      </c>
      <c r="G53" s="15">
        <v>239044</v>
      </c>
      <c r="H53" s="2">
        <v>7.83</v>
      </c>
      <c r="I53" s="20">
        <v>32929</v>
      </c>
      <c r="J53">
        <f>Post!I53</f>
        <v>1635</v>
      </c>
    </row>
    <row r="54" spans="1:10" ht="14.25" customHeight="1" x14ac:dyDescent="0.3">
      <c r="A54" s="3">
        <v>45537</v>
      </c>
      <c r="B54" s="2" t="s">
        <v>27</v>
      </c>
      <c r="C54" s="15">
        <v>1429</v>
      </c>
      <c r="D54" s="15">
        <v>182</v>
      </c>
      <c r="E54" s="15">
        <f t="shared" si="0"/>
        <v>1247</v>
      </c>
      <c r="F54" s="23">
        <f t="shared" si="1"/>
        <v>1.2459409501923365E-2</v>
      </c>
      <c r="G54" s="15">
        <v>101332</v>
      </c>
      <c r="H54" s="2">
        <v>7.16</v>
      </c>
      <c r="I54" s="20">
        <v>37829</v>
      </c>
      <c r="J54">
        <f>Post!I54</f>
        <v>1486</v>
      </c>
    </row>
    <row r="55" spans="1:10" ht="14.25" customHeight="1" x14ac:dyDescent="0.3">
      <c r="A55" s="3">
        <v>45537</v>
      </c>
      <c r="B55" s="2" t="s">
        <v>33</v>
      </c>
      <c r="C55" s="15">
        <v>1520</v>
      </c>
      <c r="D55" s="15">
        <v>475</v>
      </c>
      <c r="E55" s="15">
        <f t="shared" si="0"/>
        <v>1045</v>
      </c>
      <c r="F55" s="23">
        <f t="shared" si="1"/>
        <v>2.1071224772501347E-3</v>
      </c>
      <c r="G55" s="15">
        <v>496982</v>
      </c>
      <c r="H55" s="2">
        <v>6.41</v>
      </c>
      <c r="I55" s="20">
        <v>24384</v>
      </c>
      <c r="J55">
        <f>Post!I55</f>
        <v>3062</v>
      </c>
    </row>
    <row r="56" spans="1:10" ht="14.25" customHeight="1" x14ac:dyDescent="0.3">
      <c r="A56" s="3">
        <v>45537</v>
      </c>
      <c r="B56" s="2" t="s">
        <v>14</v>
      </c>
      <c r="C56" s="15">
        <v>557</v>
      </c>
      <c r="D56" s="15">
        <v>360</v>
      </c>
      <c r="E56" s="15">
        <f t="shared" si="0"/>
        <v>197</v>
      </c>
      <c r="F56" s="23">
        <f t="shared" si="1"/>
        <v>6.1836513048445924E-4</v>
      </c>
      <c r="G56" s="15">
        <v>318779</v>
      </c>
      <c r="H56" s="2">
        <v>8.02</v>
      </c>
      <c r="I56" s="20">
        <v>25797</v>
      </c>
      <c r="J56">
        <f>Post!I56</f>
        <v>1352</v>
      </c>
    </row>
    <row r="57" spans="1:10" ht="14.25" customHeight="1" x14ac:dyDescent="0.3">
      <c r="A57" s="3">
        <v>45537</v>
      </c>
      <c r="B57" s="2" t="s">
        <v>25</v>
      </c>
      <c r="C57" s="15">
        <v>728</v>
      </c>
      <c r="D57" s="15">
        <v>395</v>
      </c>
      <c r="E57" s="15">
        <f t="shared" si="0"/>
        <v>333</v>
      </c>
      <c r="F57" s="23">
        <f t="shared" si="1"/>
        <v>8.9845077946675727E-4</v>
      </c>
      <c r="G57" s="15">
        <v>370971</v>
      </c>
      <c r="H57" s="2">
        <v>3.86</v>
      </c>
      <c r="I57" s="20">
        <v>12646</v>
      </c>
      <c r="J57">
        <f>Post!I57</f>
        <v>3811</v>
      </c>
    </row>
    <row r="58" spans="1:10" ht="14.25" customHeight="1" x14ac:dyDescent="0.3">
      <c r="A58" s="3">
        <v>45544</v>
      </c>
      <c r="B58" s="2" t="s">
        <v>27</v>
      </c>
      <c r="C58" s="15">
        <v>1592</v>
      </c>
      <c r="D58" s="15">
        <v>20</v>
      </c>
      <c r="E58" s="15">
        <f t="shared" si="0"/>
        <v>1572</v>
      </c>
      <c r="F58" s="23">
        <f t="shared" si="1"/>
        <v>4.1754984302038341E-3</v>
      </c>
      <c r="G58" s="15">
        <v>378054</v>
      </c>
      <c r="H58" s="2">
        <v>9.09</v>
      </c>
      <c r="I58" s="20">
        <v>26663</v>
      </c>
      <c r="J58">
        <f>Post!I58</f>
        <v>3655</v>
      </c>
    </row>
    <row r="59" spans="1:10" ht="14.25" customHeight="1" x14ac:dyDescent="0.3">
      <c r="A59" s="3">
        <v>45544</v>
      </c>
      <c r="B59" s="2" t="s">
        <v>33</v>
      </c>
      <c r="C59" s="15">
        <v>1842</v>
      </c>
      <c r="D59" s="15">
        <v>414</v>
      </c>
      <c r="E59" s="15">
        <f t="shared" si="0"/>
        <v>1428</v>
      </c>
      <c r="F59" s="23">
        <f t="shared" si="1"/>
        <v>4.6652030735455539E-3</v>
      </c>
      <c r="G59" s="15">
        <v>307524</v>
      </c>
      <c r="H59" s="2">
        <v>1.76</v>
      </c>
      <c r="I59" s="20">
        <v>40478</v>
      </c>
      <c r="J59">
        <f>Post!I59</f>
        <v>892</v>
      </c>
    </row>
    <row r="60" spans="1:10" ht="14.25" customHeight="1" x14ac:dyDescent="0.3">
      <c r="A60" s="3">
        <v>45544</v>
      </c>
      <c r="B60" s="2" t="s">
        <v>14</v>
      </c>
      <c r="C60" s="15">
        <v>751</v>
      </c>
      <c r="D60" s="15">
        <v>491</v>
      </c>
      <c r="E60" s="15">
        <f t="shared" si="0"/>
        <v>260</v>
      </c>
      <c r="F60" s="23">
        <f t="shared" si="1"/>
        <v>5.9937250309483687E-4</v>
      </c>
      <c r="G60" s="15">
        <v>434047</v>
      </c>
      <c r="H60" s="2">
        <v>9.24</v>
      </c>
      <c r="I60" s="20">
        <v>15476</v>
      </c>
      <c r="J60">
        <f>Post!I60</f>
        <v>2830</v>
      </c>
    </row>
    <row r="61" spans="1:10" ht="14.25" customHeight="1" x14ac:dyDescent="0.3">
      <c r="A61" s="3">
        <v>45544</v>
      </c>
      <c r="B61" s="2" t="s">
        <v>25</v>
      </c>
      <c r="C61" s="15">
        <v>1409</v>
      </c>
      <c r="D61" s="15">
        <v>309</v>
      </c>
      <c r="E61" s="15">
        <f t="shared" si="0"/>
        <v>1100</v>
      </c>
      <c r="F61" s="23">
        <f t="shared" si="1"/>
        <v>1.7327473496841675E-2</v>
      </c>
      <c r="G61" s="15">
        <v>64583</v>
      </c>
      <c r="H61" s="2">
        <v>8.99</v>
      </c>
      <c r="I61" s="20">
        <v>10217</v>
      </c>
      <c r="J61">
        <f>Post!I61</f>
        <v>1940</v>
      </c>
    </row>
    <row r="62" spans="1:10" ht="14.25" customHeight="1" x14ac:dyDescent="0.3">
      <c r="A62" s="3">
        <v>45551</v>
      </c>
      <c r="B62" s="2" t="s">
        <v>27</v>
      </c>
      <c r="C62" s="15">
        <v>778</v>
      </c>
      <c r="D62" s="15">
        <v>401</v>
      </c>
      <c r="E62" s="15">
        <f t="shared" si="0"/>
        <v>377</v>
      </c>
      <c r="F62" s="23">
        <f t="shared" si="1"/>
        <v>7.4777848302126308E-3</v>
      </c>
      <c r="G62" s="15">
        <v>50793</v>
      </c>
      <c r="H62" s="2">
        <v>3.4</v>
      </c>
      <c r="I62" s="20">
        <v>21939</v>
      </c>
      <c r="J62">
        <f>Post!I62</f>
        <v>6278</v>
      </c>
    </row>
    <row r="63" spans="1:10" ht="14.25" customHeight="1" x14ac:dyDescent="0.3">
      <c r="A63" s="3">
        <v>45551</v>
      </c>
      <c r="B63" s="2" t="s">
        <v>33</v>
      </c>
      <c r="C63" s="15">
        <v>443</v>
      </c>
      <c r="D63" s="15">
        <v>345</v>
      </c>
      <c r="E63" s="15">
        <f t="shared" si="0"/>
        <v>98</v>
      </c>
      <c r="F63" s="23">
        <f t="shared" si="1"/>
        <v>2.0672314286678591E-4</v>
      </c>
      <c r="G63" s="15">
        <v>474162</v>
      </c>
      <c r="H63" s="2">
        <v>9.1999999999999993</v>
      </c>
      <c r="I63" s="20">
        <v>47462</v>
      </c>
      <c r="J63">
        <f>Post!I63</f>
        <v>513</v>
      </c>
    </row>
    <row r="64" spans="1:10" ht="14.25" customHeight="1" x14ac:dyDescent="0.3">
      <c r="A64" s="3">
        <v>45551</v>
      </c>
      <c r="B64" s="2" t="s">
        <v>14</v>
      </c>
      <c r="C64" s="15">
        <v>1472</v>
      </c>
      <c r="D64" s="15">
        <v>347</v>
      </c>
      <c r="E64" s="15">
        <f t="shared" si="0"/>
        <v>1125</v>
      </c>
      <c r="F64" s="23">
        <f t="shared" si="1"/>
        <v>2.8755463538072232E-3</v>
      </c>
      <c r="G64" s="15">
        <v>392355</v>
      </c>
      <c r="H64" s="2">
        <v>8.59</v>
      </c>
      <c r="I64" s="20">
        <v>30270</v>
      </c>
      <c r="J64">
        <f>Post!I64</f>
        <v>4737</v>
      </c>
    </row>
    <row r="65" spans="1:10" ht="14.25" customHeight="1" x14ac:dyDescent="0.3">
      <c r="A65" s="3">
        <v>45551</v>
      </c>
      <c r="B65" s="2" t="s">
        <v>25</v>
      </c>
      <c r="C65" s="15">
        <v>123</v>
      </c>
      <c r="D65" s="15">
        <v>155</v>
      </c>
      <c r="E65" s="15">
        <f t="shared" si="0"/>
        <v>-32</v>
      </c>
      <c r="F65" s="23">
        <f t="shared" si="1"/>
        <v>-2.6674224363569678E-4</v>
      </c>
      <c r="G65" s="15">
        <v>119934</v>
      </c>
      <c r="H65" s="2">
        <v>3.5</v>
      </c>
      <c r="I65" s="20">
        <v>5442</v>
      </c>
      <c r="J65">
        <f>Post!I65</f>
        <v>3542</v>
      </c>
    </row>
    <row r="66" spans="1:10" ht="14.25" customHeight="1" x14ac:dyDescent="0.3">
      <c r="A66" s="3">
        <v>45558</v>
      </c>
      <c r="B66" s="2" t="s">
        <v>27</v>
      </c>
      <c r="C66" s="15">
        <v>817</v>
      </c>
      <c r="D66" s="15">
        <v>151</v>
      </c>
      <c r="E66" s="15">
        <f t="shared" si="0"/>
        <v>666</v>
      </c>
      <c r="F66" s="23">
        <f t="shared" si="1"/>
        <v>1.5783523991667436E-3</v>
      </c>
      <c r="G66" s="15">
        <v>422625</v>
      </c>
      <c r="H66" s="2">
        <v>2.36</v>
      </c>
      <c r="I66" s="20">
        <v>1083</v>
      </c>
      <c r="J66">
        <f>Post!I66</f>
        <v>2481</v>
      </c>
    </row>
    <row r="67" spans="1:10" ht="14.25" customHeight="1" x14ac:dyDescent="0.3">
      <c r="A67" s="3">
        <v>45558</v>
      </c>
      <c r="B67" s="2" t="s">
        <v>33</v>
      </c>
      <c r="C67" s="15">
        <v>198</v>
      </c>
      <c r="D67" s="15">
        <v>217</v>
      </c>
      <c r="E67" s="15">
        <f t="shared" ref="E67:E130" si="2">C67-D67</f>
        <v>-19</v>
      </c>
      <c r="F67" s="23">
        <f t="shared" ref="F67:F130" si="3">(C67-D67)/(G67-(C67-D67))</f>
        <v>-7.9241946515856736E-5</v>
      </c>
      <c r="G67" s="15">
        <v>239753</v>
      </c>
      <c r="H67" s="2">
        <v>7.36</v>
      </c>
      <c r="I67" s="20">
        <v>11901</v>
      </c>
      <c r="J67">
        <f>Post!I67</f>
        <v>883</v>
      </c>
    </row>
    <row r="68" spans="1:10" ht="14.25" customHeight="1" x14ac:dyDescent="0.3">
      <c r="A68" s="3">
        <v>45558</v>
      </c>
      <c r="B68" s="2" t="s">
        <v>14</v>
      </c>
      <c r="C68" s="15">
        <v>1911</v>
      </c>
      <c r="D68" s="15">
        <v>231</v>
      </c>
      <c r="E68" s="15">
        <f t="shared" si="2"/>
        <v>1680</v>
      </c>
      <c r="F68" s="23">
        <f t="shared" si="3"/>
        <v>6.2960020387054219E-3</v>
      </c>
      <c r="G68" s="15">
        <v>268516</v>
      </c>
      <c r="H68" s="2">
        <v>8.5500000000000007</v>
      </c>
      <c r="I68" s="20">
        <v>24018</v>
      </c>
      <c r="J68">
        <f>Post!I68</f>
        <v>5407</v>
      </c>
    </row>
    <row r="69" spans="1:10" ht="14.25" customHeight="1" x14ac:dyDescent="0.3">
      <c r="A69" s="3">
        <v>45558</v>
      </c>
      <c r="B69" s="2" t="s">
        <v>25</v>
      </c>
      <c r="C69" s="15">
        <v>1218</v>
      </c>
      <c r="D69" s="15">
        <v>212</v>
      </c>
      <c r="E69" s="15">
        <f t="shared" si="2"/>
        <v>1006</v>
      </c>
      <c r="F69" s="23">
        <f t="shared" si="3"/>
        <v>1.6181177719515528E-2</v>
      </c>
      <c r="G69" s="15">
        <v>63177</v>
      </c>
      <c r="H69" s="2">
        <v>8.1300000000000008</v>
      </c>
      <c r="I69" s="20">
        <v>38883</v>
      </c>
      <c r="J69">
        <f>Post!I69</f>
        <v>3024</v>
      </c>
    </row>
    <row r="70" spans="1:10" ht="14.25" customHeight="1" x14ac:dyDescent="0.3">
      <c r="A70" s="3">
        <v>45565</v>
      </c>
      <c r="B70" s="2" t="s">
        <v>27</v>
      </c>
      <c r="C70" s="15">
        <v>1433</v>
      </c>
      <c r="D70" s="15">
        <v>408</v>
      </c>
      <c r="E70" s="15">
        <f t="shared" si="2"/>
        <v>1025</v>
      </c>
      <c r="F70" s="23">
        <f t="shared" si="3"/>
        <v>2.7759421954046647E-3</v>
      </c>
      <c r="G70" s="15">
        <v>370269</v>
      </c>
      <c r="H70" s="2">
        <v>3.3</v>
      </c>
      <c r="I70" s="20">
        <v>30575</v>
      </c>
      <c r="J70">
        <f>Post!I70</f>
        <v>2414</v>
      </c>
    </row>
    <row r="71" spans="1:10" ht="14.25" customHeight="1" x14ac:dyDescent="0.3">
      <c r="A71" s="3">
        <v>45565</v>
      </c>
      <c r="B71" s="2" t="s">
        <v>33</v>
      </c>
      <c r="C71" s="15">
        <v>250</v>
      </c>
      <c r="D71" s="15">
        <v>429</v>
      </c>
      <c r="E71" s="15">
        <f t="shared" si="2"/>
        <v>-179</v>
      </c>
      <c r="F71" s="23">
        <f t="shared" si="3"/>
        <v>-3.9461907134448259E-4</v>
      </c>
      <c r="G71" s="15">
        <v>453423</v>
      </c>
      <c r="H71" s="2">
        <v>1.77</v>
      </c>
      <c r="I71" s="20">
        <v>2315</v>
      </c>
      <c r="J71">
        <f>Post!I71</f>
        <v>1371</v>
      </c>
    </row>
    <row r="72" spans="1:10" ht="14.25" customHeight="1" x14ac:dyDescent="0.3">
      <c r="A72" s="3">
        <v>45565</v>
      </c>
      <c r="B72" s="2" t="s">
        <v>14</v>
      </c>
      <c r="C72" s="15">
        <v>752</v>
      </c>
      <c r="D72" s="15">
        <v>153</v>
      </c>
      <c r="E72" s="15">
        <f t="shared" si="2"/>
        <v>599</v>
      </c>
      <c r="F72" s="23">
        <f t="shared" si="3"/>
        <v>9.3146935792370964E-3</v>
      </c>
      <c r="G72" s="15">
        <v>64906</v>
      </c>
      <c r="H72" s="2">
        <v>2.09</v>
      </c>
      <c r="I72" s="20">
        <v>12148</v>
      </c>
      <c r="J72">
        <f>Post!I72</f>
        <v>3671</v>
      </c>
    </row>
    <row r="73" spans="1:10" ht="14.25" customHeight="1" x14ac:dyDescent="0.3">
      <c r="A73" s="3">
        <v>45565</v>
      </c>
      <c r="B73" s="2" t="s">
        <v>25</v>
      </c>
      <c r="C73" s="15">
        <v>1918</v>
      </c>
      <c r="D73" s="15">
        <v>212</v>
      </c>
      <c r="E73" s="15">
        <f t="shared" si="2"/>
        <v>1706</v>
      </c>
      <c r="F73" s="23">
        <f t="shared" si="3"/>
        <v>1.8412588771126989E-2</v>
      </c>
      <c r="G73" s="15">
        <v>94360</v>
      </c>
      <c r="H73" s="2">
        <v>7.36</v>
      </c>
      <c r="I73" s="20">
        <v>36851</v>
      </c>
      <c r="J73">
        <f>Post!I73</f>
        <v>497</v>
      </c>
    </row>
    <row r="74" spans="1:10" ht="14.25" customHeight="1" x14ac:dyDescent="0.3">
      <c r="A74" s="3">
        <v>45572</v>
      </c>
      <c r="B74" s="2" t="s">
        <v>27</v>
      </c>
      <c r="C74" s="15">
        <v>1939</v>
      </c>
      <c r="D74" s="15">
        <v>67</v>
      </c>
      <c r="E74" s="15">
        <f t="shared" si="2"/>
        <v>1872</v>
      </c>
      <c r="F74" s="23">
        <f t="shared" si="3"/>
        <v>1.0101936744176006E-2</v>
      </c>
      <c r="G74" s="15">
        <v>187183</v>
      </c>
      <c r="H74" s="2">
        <v>6.25</v>
      </c>
      <c r="I74" s="20">
        <v>41215</v>
      </c>
      <c r="J74">
        <f>Post!I74</f>
        <v>5038</v>
      </c>
    </row>
    <row r="75" spans="1:10" ht="14.25" customHeight="1" x14ac:dyDescent="0.3">
      <c r="A75" s="3">
        <v>45572</v>
      </c>
      <c r="B75" s="2" t="s">
        <v>33</v>
      </c>
      <c r="C75" s="15">
        <v>1929</v>
      </c>
      <c r="D75" s="15">
        <v>267</v>
      </c>
      <c r="E75" s="15">
        <f t="shared" si="2"/>
        <v>1662</v>
      </c>
      <c r="F75" s="23">
        <f t="shared" si="3"/>
        <v>4.400306062202642E-3</v>
      </c>
      <c r="G75" s="15">
        <v>379363</v>
      </c>
      <c r="H75" s="2">
        <v>1.75</v>
      </c>
      <c r="I75" s="20">
        <v>43836</v>
      </c>
      <c r="J75">
        <f>Post!I75</f>
        <v>2229</v>
      </c>
    </row>
    <row r="76" spans="1:10" ht="14.25" customHeight="1" x14ac:dyDescent="0.3">
      <c r="A76" s="3">
        <v>45572</v>
      </c>
      <c r="B76" s="2" t="s">
        <v>14</v>
      </c>
      <c r="C76" s="15">
        <v>437</v>
      </c>
      <c r="D76" s="15">
        <v>330</v>
      </c>
      <c r="E76" s="15">
        <f t="shared" si="2"/>
        <v>107</v>
      </c>
      <c r="F76" s="23">
        <f t="shared" si="3"/>
        <v>2.2461107647482362E-4</v>
      </c>
      <c r="G76" s="15">
        <v>476486</v>
      </c>
      <c r="H76" s="2">
        <v>4.97</v>
      </c>
      <c r="I76" s="20">
        <v>4509</v>
      </c>
      <c r="J76">
        <f>Post!I76</f>
        <v>2640</v>
      </c>
    </row>
    <row r="77" spans="1:10" ht="14.25" customHeight="1" x14ac:dyDescent="0.3">
      <c r="A77" s="3">
        <v>45572</v>
      </c>
      <c r="B77" s="2" t="s">
        <v>25</v>
      </c>
      <c r="C77" s="15">
        <v>307</v>
      </c>
      <c r="D77" s="15">
        <v>189</v>
      </c>
      <c r="E77" s="15">
        <f t="shared" si="2"/>
        <v>118</v>
      </c>
      <c r="F77" s="23">
        <f t="shared" si="3"/>
        <v>1.0029834507730621E-3</v>
      </c>
      <c r="G77" s="15">
        <v>117767</v>
      </c>
      <c r="H77" s="2">
        <v>9.3000000000000007</v>
      </c>
      <c r="I77" s="20">
        <v>27822</v>
      </c>
      <c r="J77">
        <f>Post!I77</f>
        <v>1274</v>
      </c>
    </row>
    <row r="78" spans="1:10" ht="14.25" customHeight="1" x14ac:dyDescent="0.3">
      <c r="A78" s="3">
        <v>45579</v>
      </c>
      <c r="B78" s="2" t="s">
        <v>27</v>
      </c>
      <c r="C78" s="15">
        <v>1527</v>
      </c>
      <c r="D78" s="15">
        <v>303</v>
      </c>
      <c r="E78" s="15">
        <f t="shared" si="2"/>
        <v>1224</v>
      </c>
      <c r="F78" s="23">
        <f t="shared" si="3"/>
        <v>3.1600878834898319E-3</v>
      </c>
      <c r="G78" s="15">
        <v>388555</v>
      </c>
      <c r="H78" s="2">
        <v>8.9</v>
      </c>
      <c r="I78" s="20">
        <v>36397</v>
      </c>
      <c r="J78">
        <f>Post!I78</f>
        <v>1785</v>
      </c>
    </row>
    <row r="79" spans="1:10" ht="14.25" customHeight="1" x14ac:dyDescent="0.3">
      <c r="A79" s="3">
        <v>45579</v>
      </c>
      <c r="B79" s="2" t="s">
        <v>33</v>
      </c>
      <c r="C79" s="15">
        <v>643</v>
      </c>
      <c r="D79" s="15">
        <v>358</v>
      </c>
      <c r="E79" s="15">
        <f t="shared" si="2"/>
        <v>285</v>
      </c>
      <c r="F79" s="23">
        <f t="shared" si="3"/>
        <v>1.8116632976086045E-3</v>
      </c>
      <c r="G79" s="15">
        <v>157599</v>
      </c>
      <c r="H79" s="2">
        <v>3.88</v>
      </c>
      <c r="I79" s="20">
        <v>7285</v>
      </c>
      <c r="J79">
        <f>Post!I79</f>
        <v>1566</v>
      </c>
    </row>
    <row r="80" spans="1:10" ht="14.25" customHeight="1" x14ac:dyDescent="0.3">
      <c r="A80" s="3">
        <v>45579</v>
      </c>
      <c r="B80" s="2" t="s">
        <v>14</v>
      </c>
      <c r="C80" s="15">
        <v>201</v>
      </c>
      <c r="D80" s="15">
        <v>221</v>
      </c>
      <c r="E80" s="15">
        <f t="shared" si="2"/>
        <v>-20</v>
      </c>
      <c r="F80" s="23">
        <f t="shared" si="3"/>
        <v>-6.45594463381882E-5</v>
      </c>
      <c r="G80" s="15">
        <v>309772</v>
      </c>
      <c r="H80" s="2">
        <v>5.9</v>
      </c>
      <c r="I80" s="20">
        <v>33174</v>
      </c>
      <c r="J80">
        <f>Post!I80</f>
        <v>3534</v>
      </c>
    </row>
    <row r="81" spans="1:10" ht="14.25" customHeight="1" x14ac:dyDescent="0.3">
      <c r="A81" s="3">
        <v>45579</v>
      </c>
      <c r="B81" s="2" t="s">
        <v>25</v>
      </c>
      <c r="C81" s="15">
        <v>414</v>
      </c>
      <c r="D81" s="15">
        <v>47</v>
      </c>
      <c r="E81" s="15">
        <f t="shared" si="2"/>
        <v>367</v>
      </c>
      <c r="F81" s="23">
        <f t="shared" si="3"/>
        <v>1.8459743173164463E-3</v>
      </c>
      <c r="G81" s="15">
        <v>199178</v>
      </c>
      <c r="H81" s="2">
        <v>1.53</v>
      </c>
      <c r="I81" s="20">
        <v>6742</v>
      </c>
      <c r="J81">
        <f>Post!I81</f>
        <v>3098</v>
      </c>
    </row>
    <row r="82" spans="1:10" ht="14.25" customHeight="1" x14ac:dyDescent="0.3">
      <c r="A82" s="3">
        <v>45586</v>
      </c>
      <c r="B82" s="2" t="s">
        <v>27</v>
      </c>
      <c r="C82" s="15">
        <v>703</v>
      </c>
      <c r="D82" s="15">
        <v>441</v>
      </c>
      <c r="E82" s="15">
        <f t="shared" si="2"/>
        <v>262</v>
      </c>
      <c r="F82" s="23">
        <f t="shared" si="3"/>
        <v>7.3424937014295445E-4</v>
      </c>
      <c r="G82" s="15">
        <v>357089</v>
      </c>
      <c r="H82" s="2">
        <v>6.5</v>
      </c>
      <c r="I82" s="20">
        <v>32478</v>
      </c>
      <c r="J82">
        <f>Post!I82</f>
        <v>1886</v>
      </c>
    </row>
    <row r="83" spans="1:10" ht="14.25" customHeight="1" x14ac:dyDescent="0.3">
      <c r="A83" s="3">
        <v>45586</v>
      </c>
      <c r="B83" s="2" t="s">
        <v>33</v>
      </c>
      <c r="C83" s="15">
        <v>508</v>
      </c>
      <c r="D83" s="15">
        <v>69</v>
      </c>
      <c r="E83" s="15">
        <f t="shared" si="2"/>
        <v>439</v>
      </c>
      <c r="F83" s="23">
        <f t="shared" si="3"/>
        <v>1.904307465405804E-2</v>
      </c>
      <c r="G83" s="15">
        <v>23492</v>
      </c>
      <c r="H83" s="2">
        <v>3.16</v>
      </c>
      <c r="I83" s="20">
        <v>42824</v>
      </c>
      <c r="J83">
        <f>Post!I83</f>
        <v>1241</v>
      </c>
    </row>
    <row r="84" spans="1:10" ht="14.25" customHeight="1" x14ac:dyDescent="0.3">
      <c r="A84" s="3">
        <v>45586</v>
      </c>
      <c r="B84" s="2" t="s">
        <v>14</v>
      </c>
      <c r="C84" s="15">
        <v>697</v>
      </c>
      <c r="D84" s="15">
        <v>61</v>
      </c>
      <c r="E84" s="15">
        <f t="shared" si="2"/>
        <v>636</v>
      </c>
      <c r="F84" s="23">
        <f t="shared" si="3"/>
        <v>2.4684553912074862E-3</v>
      </c>
      <c r="G84" s="15">
        <v>258287</v>
      </c>
      <c r="H84" s="2">
        <v>8.25</v>
      </c>
      <c r="I84" s="20">
        <v>21208</v>
      </c>
      <c r="J84">
        <f>Post!I84</f>
        <v>1587</v>
      </c>
    </row>
    <row r="85" spans="1:10" ht="14.25" customHeight="1" x14ac:dyDescent="0.3">
      <c r="A85" s="3">
        <v>45586</v>
      </c>
      <c r="B85" s="2" t="s">
        <v>25</v>
      </c>
      <c r="C85" s="15">
        <v>1707</v>
      </c>
      <c r="D85" s="15">
        <v>223</v>
      </c>
      <c r="E85" s="15">
        <f t="shared" si="2"/>
        <v>1484</v>
      </c>
      <c r="F85" s="23">
        <f t="shared" si="3"/>
        <v>5.8099018893926222E-3</v>
      </c>
      <c r="G85" s="15">
        <v>256910</v>
      </c>
      <c r="H85" s="2">
        <v>5.41</v>
      </c>
      <c r="I85" s="20">
        <v>44321</v>
      </c>
      <c r="J85">
        <f>Post!I85</f>
        <v>3034</v>
      </c>
    </row>
    <row r="86" spans="1:10" ht="14.25" customHeight="1" x14ac:dyDescent="0.3">
      <c r="A86" s="3">
        <v>45593</v>
      </c>
      <c r="B86" s="2" t="s">
        <v>27</v>
      </c>
      <c r="C86" s="15">
        <v>642</v>
      </c>
      <c r="D86" s="15">
        <v>66</v>
      </c>
      <c r="E86" s="15">
        <f t="shared" si="2"/>
        <v>576</v>
      </c>
      <c r="F86" s="23">
        <f t="shared" si="3"/>
        <v>1.6649997398437907E-3</v>
      </c>
      <c r="G86" s="15">
        <v>346522</v>
      </c>
      <c r="H86" s="2">
        <v>5.85</v>
      </c>
      <c r="I86" s="20">
        <v>13116</v>
      </c>
      <c r="J86">
        <f>Post!I86</f>
        <v>4801</v>
      </c>
    </row>
    <row r="87" spans="1:10" ht="14.25" customHeight="1" x14ac:dyDescent="0.3">
      <c r="A87" s="3">
        <v>45593</v>
      </c>
      <c r="B87" s="2" t="s">
        <v>33</v>
      </c>
      <c r="C87" s="15">
        <v>859</v>
      </c>
      <c r="D87" s="15">
        <v>473</v>
      </c>
      <c r="E87" s="15">
        <f t="shared" si="2"/>
        <v>386</v>
      </c>
      <c r="F87" s="23">
        <f t="shared" si="3"/>
        <v>1.8415942672029236E-3</v>
      </c>
      <c r="G87" s="15">
        <v>209987</v>
      </c>
      <c r="H87" s="2">
        <v>4.46</v>
      </c>
      <c r="I87" s="20">
        <v>30214</v>
      </c>
      <c r="J87">
        <f>Post!I87</f>
        <v>3818</v>
      </c>
    </row>
    <row r="88" spans="1:10" ht="14.25" customHeight="1" x14ac:dyDescent="0.3">
      <c r="A88" s="3">
        <v>45593</v>
      </c>
      <c r="B88" s="2" t="s">
        <v>14</v>
      </c>
      <c r="C88" s="15">
        <v>191</v>
      </c>
      <c r="D88" s="15">
        <v>154</v>
      </c>
      <c r="E88" s="15">
        <f t="shared" si="2"/>
        <v>37</v>
      </c>
      <c r="F88" s="23">
        <f t="shared" si="3"/>
        <v>1.538378382873275E-4</v>
      </c>
      <c r="G88" s="15">
        <v>240550</v>
      </c>
      <c r="H88" s="2">
        <v>5.22</v>
      </c>
      <c r="I88" s="20">
        <v>15827</v>
      </c>
      <c r="J88">
        <f>Post!I88</f>
        <v>2697</v>
      </c>
    </row>
    <row r="89" spans="1:10" ht="14.25" customHeight="1" x14ac:dyDescent="0.3">
      <c r="A89" s="3">
        <v>45593</v>
      </c>
      <c r="B89" s="2" t="s">
        <v>25</v>
      </c>
      <c r="C89" s="15">
        <v>1814</v>
      </c>
      <c r="D89" s="15">
        <v>157</v>
      </c>
      <c r="E89" s="15">
        <f t="shared" si="2"/>
        <v>1657</v>
      </c>
      <c r="F89" s="23">
        <f t="shared" si="3"/>
        <v>5.4476115330242955E-3</v>
      </c>
      <c r="G89" s="15">
        <v>305827</v>
      </c>
      <c r="H89" s="2">
        <v>1.99</v>
      </c>
      <c r="I89" s="20">
        <v>46643</v>
      </c>
      <c r="J89">
        <f>Post!I89</f>
        <v>779</v>
      </c>
    </row>
    <row r="90" spans="1:10" ht="14.25" customHeight="1" x14ac:dyDescent="0.3">
      <c r="A90" s="3">
        <v>45600</v>
      </c>
      <c r="B90" s="2" t="s">
        <v>27</v>
      </c>
      <c r="C90" s="15">
        <v>1466</v>
      </c>
      <c r="D90" s="15">
        <v>69</v>
      </c>
      <c r="E90" s="15">
        <f t="shared" si="2"/>
        <v>1397</v>
      </c>
      <c r="F90" s="23">
        <f t="shared" si="3"/>
        <v>2.609361574956106E-2</v>
      </c>
      <c r="G90" s="15">
        <v>54935</v>
      </c>
      <c r="H90" s="2">
        <v>6.85</v>
      </c>
      <c r="I90" s="20">
        <v>36484</v>
      </c>
      <c r="J90">
        <f>Post!I90</f>
        <v>2615</v>
      </c>
    </row>
    <row r="91" spans="1:10" ht="14.25" customHeight="1" x14ac:dyDescent="0.3">
      <c r="A91" s="3">
        <v>45600</v>
      </c>
      <c r="B91" s="2" t="s">
        <v>33</v>
      </c>
      <c r="C91" s="15">
        <v>947</v>
      </c>
      <c r="D91" s="15">
        <v>407</v>
      </c>
      <c r="E91" s="15">
        <f t="shared" si="2"/>
        <v>540</v>
      </c>
      <c r="F91" s="23">
        <f t="shared" si="3"/>
        <v>1.6946705748699183E-3</v>
      </c>
      <c r="G91" s="15">
        <v>319186</v>
      </c>
      <c r="H91" s="2">
        <v>3.32</v>
      </c>
      <c r="I91" s="20">
        <v>4996</v>
      </c>
      <c r="J91">
        <f>Post!I91</f>
        <v>4922</v>
      </c>
    </row>
    <row r="92" spans="1:10" ht="14.25" customHeight="1" x14ac:dyDescent="0.3">
      <c r="A92" s="3">
        <v>45600</v>
      </c>
      <c r="B92" s="2" t="s">
        <v>14</v>
      </c>
      <c r="C92" s="15">
        <v>1821</v>
      </c>
      <c r="D92" s="15">
        <v>218</v>
      </c>
      <c r="E92" s="15">
        <f t="shared" si="2"/>
        <v>1603</v>
      </c>
      <c r="F92" s="23">
        <f t="shared" si="3"/>
        <v>3.6641926318412166E-3</v>
      </c>
      <c r="G92" s="15">
        <v>439080</v>
      </c>
      <c r="H92" s="2">
        <v>5.68</v>
      </c>
      <c r="I92" s="20">
        <v>36095</v>
      </c>
      <c r="J92">
        <f>Post!I92</f>
        <v>2017</v>
      </c>
    </row>
    <row r="93" spans="1:10" ht="14.25" customHeight="1" x14ac:dyDescent="0.3">
      <c r="A93" s="3">
        <v>45600</v>
      </c>
      <c r="B93" s="2" t="s">
        <v>25</v>
      </c>
      <c r="C93" s="15">
        <v>1507</v>
      </c>
      <c r="D93" s="15">
        <v>463</v>
      </c>
      <c r="E93" s="15">
        <f t="shared" si="2"/>
        <v>1044</v>
      </c>
      <c r="F93" s="23">
        <f t="shared" si="3"/>
        <v>4.0480806514152775E-3</v>
      </c>
      <c r="G93" s="15">
        <v>258944</v>
      </c>
      <c r="H93" s="2">
        <v>6.08</v>
      </c>
      <c r="I93" s="20">
        <v>16443</v>
      </c>
      <c r="J93">
        <f>Post!I93</f>
        <v>5169</v>
      </c>
    </row>
    <row r="94" spans="1:10" ht="14.25" customHeight="1" x14ac:dyDescent="0.3">
      <c r="A94" s="3">
        <v>45607</v>
      </c>
      <c r="B94" s="2" t="s">
        <v>27</v>
      </c>
      <c r="C94" s="15">
        <v>1075</v>
      </c>
      <c r="D94" s="15">
        <v>173</v>
      </c>
      <c r="E94" s="15">
        <f t="shared" si="2"/>
        <v>902</v>
      </c>
      <c r="F94" s="23">
        <f t="shared" si="3"/>
        <v>1.7863862317548967E-2</v>
      </c>
      <c r="G94" s="15">
        <v>51395</v>
      </c>
      <c r="H94" s="2">
        <v>4.66</v>
      </c>
      <c r="I94" s="20">
        <v>47812</v>
      </c>
      <c r="J94">
        <f>Post!I94</f>
        <v>2408</v>
      </c>
    </row>
    <row r="95" spans="1:10" ht="14.25" customHeight="1" x14ac:dyDescent="0.3">
      <c r="A95" s="3">
        <v>45607</v>
      </c>
      <c r="B95" s="2" t="s">
        <v>33</v>
      </c>
      <c r="C95" s="15">
        <v>171</v>
      </c>
      <c r="D95" s="15">
        <v>277</v>
      </c>
      <c r="E95" s="15">
        <f t="shared" si="2"/>
        <v>-106</v>
      </c>
      <c r="F95" s="23">
        <f t="shared" si="3"/>
        <v>-3.4238942598089728E-4</v>
      </c>
      <c r="G95" s="15">
        <v>309483</v>
      </c>
      <c r="H95" s="2">
        <v>8.6999999999999993</v>
      </c>
      <c r="I95" s="20">
        <v>38452</v>
      </c>
      <c r="J95">
        <f>Post!I95</f>
        <v>3121</v>
      </c>
    </row>
    <row r="96" spans="1:10" ht="14.25" customHeight="1" x14ac:dyDescent="0.3">
      <c r="A96" s="3">
        <v>45607</v>
      </c>
      <c r="B96" s="2" t="s">
        <v>14</v>
      </c>
      <c r="C96" s="15">
        <v>1487</v>
      </c>
      <c r="D96" s="15">
        <v>337</v>
      </c>
      <c r="E96" s="15">
        <f t="shared" si="2"/>
        <v>1150</v>
      </c>
      <c r="F96" s="23">
        <f t="shared" si="3"/>
        <v>1.3348035517381463E-2</v>
      </c>
      <c r="G96" s="15">
        <v>87305</v>
      </c>
      <c r="H96" s="2">
        <v>2.46</v>
      </c>
      <c r="I96" s="20">
        <v>30428</v>
      </c>
      <c r="J96">
        <f>Post!I96</f>
        <v>3901</v>
      </c>
    </row>
    <row r="97" spans="1:10" ht="14.25" customHeight="1" x14ac:dyDescent="0.3">
      <c r="A97" s="3">
        <v>45607</v>
      </c>
      <c r="B97" s="2" t="s">
        <v>25</v>
      </c>
      <c r="C97" s="15">
        <v>454</v>
      </c>
      <c r="D97" s="15">
        <v>105</v>
      </c>
      <c r="E97" s="15">
        <f t="shared" si="2"/>
        <v>349</v>
      </c>
      <c r="F97" s="23">
        <f t="shared" si="3"/>
        <v>2.8904606516373756E-3</v>
      </c>
      <c r="G97" s="15">
        <v>121091</v>
      </c>
      <c r="H97" s="2">
        <v>7.97</v>
      </c>
      <c r="I97" s="20">
        <v>9269</v>
      </c>
      <c r="J97">
        <f>Post!I97</f>
        <v>2048</v>
      </c>
    </row>
    <row r="98" spans="1:10" ht="14.25" customHeight="1" x14ac:dyDescent="0.3">
      <c r="A98" s="3">
        <v>45614</v>
      </c>
      <c r="B98" s="2" t="s">
        <v>27</v>
      </c>
      <c r="C98" s="15">
        <v>187</v>
      </c>
      <c r="D98" s="15">
        <v>236</v>
      </c>
      <c r="E98" s="15">
        <f t="shared" si="2"/>
        <v>-49</v>
      </c>
      <c r="F98" s="23">
        <f t="shared" si="3"/>
        <v>-9.5822903629536917E-4</v>
      </c>
      <c r="G98" s="15">
        <v>51087</v>
      </c>
      <c r="H98" s="2">
        <v>9.41</v>
      </c>
      <c r="I98" s="20">
        <v>29533</v>
      </c>
      <c r="J98">
        <f>Post!I98</f>
        <v>5401</v>
      </c>
    </row>
    <row r="99" spans="1:10" ht="14.25" customHeight="1" x14ac:dyDescent="0.3">
      <c r="A99" s="3">
        <v>45614</v>
      </c>
      <c r="B99" s="2" t="s">
        <v>33</v>
      </c>
      <c r="C99" s="15">
        <v>513</v>
      </c>
      <c r="D99" s="15">
        <v>441</v>
      </c>
      <c r="E99" s="15">
        <f t="shared" si="2"/>
        <v>72</v>
      </c>
      <c r="F99" s="23">
        <f t="shared" si="3"/>
        <v>2.1253044055789241E-4</v>
      </c>
      <c r="G99" s="15">
        <v>338847</v>
      </c>
      <c r="H99" s="2">
        <v>2.68</v>
      </c>
      <c r="I99" s="20">
        <v>39997</v>
      </c>
      <c r="J99">
        <f>Post!I99</f>
        <v>2832</v>
      </c>
    </row>
    <row r="100" spans="1:10" ht="14.25" customHeight="1" x14ac:dyDescent="0.3">
      <c r="A100" s="3">
        <v>45614</v>
      </c>
      <c r="B100" s="2" t="s">
        <v>14</v>
      </c>
      <c r="C100" s="15">
        <v>628</v>
      </c>
      <c r="D100" s="15">
        <v>183</v>
      </c>
      <c r="E100" s="15">
        <f t="shared" si="2"/>
        <v>445</v>
      </c>
      <c r="F100" s="23">
        <f t="shared" si="3"/>
        <v>9.1361137230587303E-4</v>
      </c>
      <c r="G100" s="15">
        <v>487523</v>
      </c>
      <c r="H100" s="2">
        <v>7.32</v>
      </c>
      <c r="I100" s="20">
        <v>5391</v>
      </c>
      <c r="J100">
        <f>Post!I100</f>
        <v>4805</v>
      </c>
    </row>
    <row r="101" spans="1:10" ht="14.25" customHeight="1" x14ac:dyDescent="0.3">
      <c r="A101" s="3">
        <v>45614</v>
      </c>
      <c r="B101" s="2" t="s">
        <v>25</v>
      </c>
      <c r="C101" s="15">
        <v>278</v>
      </c>
      <c r="D101" s="15">
        <v>218</v>
      </c>
      <c r="E101" s="15">
        <f t="shared" si="2"/>
        <v>60</v>
      </c>
      <c r="F101" s="23">
        <f t="shared" si="3"/>
        <v>1.9891590829976627E-4</v>
      </c>
      <c r="G101" s="15">
        <v>301695</v>
      </c>
      <c r="H101" s="2">
        <v>4.68</v>
      </c>
      <c r="I101" s="20">
        <v>22373</v>
      </c>
      <c r="J101">
        <f>Post!I101</f>
        <v>2282</v>
      </c>
    </row>
    <row r="102" spans="1:10" ht="14.25" customHeight="1" x14ac:dyDescent="0.3">
      <c r="A102" s="3">
        <v>45621</v>
      </c>
      <c r="B102" s="2" t="s">
        <v>27</v>
      </c>
      <c r="C102" s="15">
        <v>1854</v>
      </c>
      <c r="D102" s="15">
        <v>161</v>
      </c>
      <c r="E102" s="15">
        <f t="shared" si="2"/>
        <v>1693</v>
      </c>
      <c r="F102" s="23">
        <f t="shared" si="3"/>
        <v>6.0297820659393885E-3</v>
      </c>
      <c r="G102" s="15">
        <v>282466</v>
      </c>
      <c r="H102" s="2">
        <v>5.17</v>
      </c>
      <c r="I102" s="20">
        <v>1810</v>
      </c>
      <c r="J102">
        <f>Post!I102</f>
        <v>5576</v>
      </c>
    </row>
    <row r="103" spans="1:10" ht="14.25" customHeight="1" x14ac:dyDescent="0.3">
      <c r="A103" s="3">
        <v>45621</v>
      </c>
      <c r="B103" s="2" t="s">
        <v>33</v>
      </c>
      <c r="C103" s="15">
        <v>1710</v>
      </c>
      <c r="D103" s="15">
        <v>378</v>
      </c>
      <c r="E103" s="15">
        <f t="shared" si="2"/>
        <v>1332</v>
      </c>
      <c r="F103" s="23">
        <f t="shared" si="3"/>
        <v>3.9722183288650849E-3</v>
      </c>
      <c r="G103" s="15">
        <v>336661</v>
      </c>
      <c r="H103" s="2">
        <v>6.2</v>
      </c>
      <c r="I103" s="20">
        <v>28498</v>
      </c>
      <c r="J103">
        <f>Post!I103</f>
        <v>2140</v>
      </c>
    </row>
    <row r="104" spans="1:10" ht="14.25" customHeight="1" x14ac:dyDescent="0.3">
      <c r="A104" s="3">
        <v>45621</v>
      </c>
      <c r="B104" s="2" t="s">
        <v>14</v>
      </c>
      <c r="C104" s="15">
        <v>330</v>
      </c>
      <c r="D104" s="15">
        <v>232</v>
      </c>
      <c r="E104" s="15">
        <f t="shared" si="2"/>
        <v>98</v>
      </c>
      <c r="F104" s="23">
        <f t="shared" si="3"/>
        <v>1.1091367973109091E-3</v>
      </c>
      <c r="G104" s="15">
        <v>88455</v>
      </c>
      <c r="H104" s="2">
        <v>2.69</v>
      </c>
      <c r="I104" s="20">
        <v>39530</v>
      </c>
      <c r="J104">
        <f>Post!I104</f>
        <v>4043</v>
      </c>
    </row>
    <row r="105" spans="1:10" ht="14.25" customHeight="1" x14ac:dyDescent="0.3">
      <c r="A105" s="3">
        <v>45621</v>
      </c>
      <c r="B105" s="2" t="s">
        <v>25</v>
      </c>
      <c r="C105" s="15">
        <v>1293</v>
      </c>
      <c r="D105" s="15">
        <v>408</v>
      </c>
      <c r="E105" s="15">
        <f t="shared" si="2"/>
        <v>885</v>
      </c>
      <c r="F105" s="23">
        <f t="shared" si="3"/>
        <v>1.4355231143552312E-2</v>
      </c>
      <c r="G105" s="15">
        <v>62535</v>
      </c>
      <c r="H105" s="2">
        <v>8.9</v>
      </c>
      <c r="I105" s="20">
        <v>37876</v>
      </c>
      <c r="J105">
        <f>Post!I105</f>
        <v>4509</v>
      </c>
    </row>
    <row r="106" spans="1:10" ht="14.25" customHeight="1" x14ac:dyDescent="0.3">
      <c r="A106" s="3">
        <v>45628</v>
      </c>
      <c r="B106" s="2" t="s">
        <v>27</v>
      </c>
      <c r="C106" s="15">
        <v>1696</v>
      </c>
      <c r="D106" s="15">
        <v>71</v>
      </c>
      <c r="E106" s="15">
        <f t="shared" si="2"/>
        <v>1625</v>
      </c>
      <c r="F106" s="23">
        <f t="shared" si="3"/>
        <v>3.8659916446999038E-3</v>
      </c>
      <c r="G106" s="15">
        <v>421957</v>
      </c>
      <c r="H106" s="2">
        <v>3.79</v>
      </c>
      <c r="I106" s="20">
        <v>36103</v>
      </c>
      <c r="J106">
        <f>Post!I106</f>
        <v>578</v>
      </c>
    </row>
    <row r="107" spans="1:10" ht="14.25" customHeight="1" x14ac:dyDescent="0.3">
      <c r="A107" s="3">
        <v>45628</v>
      </c>
      <c r="B107" s="2" t="s">
        <v>33</v>
      </c>
      <c r="C107" s="15">
        <v>1902</v>
      </c>
      <c r="D107" s="15">
        <v>196</v>
      </c>
      <c r="E107" s="15">
        <f t="shared" si="2"/>
        <v>1706</v>
      </c>
      <c r="F107" s="23">
        <f t="shared" si="3"/>
        <v>3.6409191506798447E-3</v>
      </c>
      <c r="G107" s="15">
        <v>470269</v>
      </c>
      <c r="H107" s="2">
        <v>4.79</v>
      </c>
      <c r="I107" s="20">
        <v>26103</v>
      </c>
      <c r="J107">
        <f>Post!I107</f>
        <v>5939</v>
      </c>
    </row>
    <row r="108" spans="1:10" ht="14.25" customHeight="1" x14ac:dyDescent="0.3">
      <c r="A108" s="3">
        <v>45628</v>
      </c>
      <c r="B108" s="2" t="s">
        <v>14</v>
      </c>
      <c r="C108" s="15">
        <v>1441</v>
      </c>
      <c r="D108" s="15">
        <v>268</v>
      </c>
      <c r="E108" s="15">
        <f t="shared" si="2"/>
        <v>1173</v>
      </c>
      <c r="F108" s="23">
        <f t="shared" si="3"/>
        <v>3.7994240941142936E-3</v>
      </c>
      <c r="G108" s="15">
        <v>309904</v>
      </c>
      <c r="H108" s="2">
        <v>6.37</v>
      </c>
      <c r="I108" s="20">
        <v>3455</v>
      </c>
      <c r="J108">
        <f>Post!I108</f>
        <v>5735</v>
      </c>
    </row>
    <row r="109" spans="1:10" ht="14.25" customHeight="1" x14ac:dyDescent="0.3">
      <c r="A109" s="3">
        <v>45628</v>
      </c>
      <c r="B109" s="2" t="s">
        <v>25</v>
      </c>
      <c r="C109" s="15">
        <v>452</v>
      </c>
      <c r="D109" s="15">
        <v>161</v>
      </c>
      <c r="E109" s="15">
        <f t="shared" si="2"/>
        <v>291</v>
      </c>
      <c r="F109" s="23">
        <f t="shared" si="3"/>
        <v>1.3168433770923554E-3</v>
      </c>
      <c r="G109" s="15">
        <v>221274</v>
      </c>
      <c r="H109" s="2">
        <v>2.65</v>
      </c>
      <c r="I109" s="20">
        <v>40888</v>
      </c>
      <c r="J109">
        <f>Post!I109</f>
        <v>5268</v>
      </c>
    </row>
    <row r="110" spans="1:10" ht="14.25" customHeight="1" x14ac:dyDescent="0.3">
      <c r="A110" s="3">
        <v>45635</v>
      </c>
      <c r="B110" s="2" t="s">
        <v>27</v>
      </c>
      <c r="C110" s="15">
        <v>1494</v>
      </c>
      <c r="D110" s="15">
        <v>375</v>
      </c>
      <c r="E110" s="15">
        <f t="shared" si="2"/>
        <v>1119</v>
      </c>
      <c r="F110" s="23">
        <f t="shared" si="3"/>
        <v>5.0980195629097436E-3</v>
      </c>
      <c r="G110" s="15">
        <v>220616</v>
      </c>
      <c r="H110" s="2">
        <v>1.81</v>
      </c>
      <c r="I110" s="20">
        <v>22724</v>
      </c>
      <c r="J110">
        <f>Post!I110</f>
        <v>4277</v>
      </c>
    </row>
    <row r="111" spans="1:10" ht="14.25" customHeight="1" x14ac:dyDescent="0.3">
      <c r="A111" s="3">
        <v>45635</v>
      </c>
      <c r="B111" s="2" t="s">
        <v>33</v>
      </c>
      <c r="C111" s="15">
        <v>1514</v>
      </c>
      <c r="D111" s="15">
        <v>141</v>
      </c>
      <c r="E111" s="15">
        <f t="shared" si="2"/>
        <v>1373</v>
      </c>
      <c r="F111" s="23">
        <f t="shared" si="3"/>
        <v>3.9832893324436451E-2</v>
      </c>
      <c r="G111" s="15">
        <v>35842</v>
      </c>
      <c r="H111" s="2">
        <v>7.47</v>
      </c>
      <c r="I111" s="20">
        <v>18601</v>
      </c>
      <c r="J111">
        <f>Post!I111</f>
        <v>4758</v>
      </c>
    </row>
    <row r="112" spans="1:10" ht="14.25" customHeight="1" x14ac:dyDescent="0.3">
      <c r="A112" s="3">
        <v>45635</v>
      </c>
      <c r="B112" s="2" t="s">
        <v>14</v>
      </c>
      <c r="C112" s="15">
        <v>1937</v>
      </c>
      <c r="D112" s="15">
        <v>210</v>
      </c>
      <c r="E112" s="15">
        <f t="shared" si="2"/>
        <v>1727</v>
      </c>
      <c r="F112" s="23">
        <f t="shared" si="3"/>
        <v>9.1472457627118642E-2</v>
      </c>
      <c r="G112" s="15">
        <v>20607</v>
      </c>
      <c r="H112" s="2">
        <v>4.2</v>
      </c>
      <c r="I112" s="20">
        <v>20861</v>
      </c>
      <c r="J112">
        <f>Post!I112</f>
        <v>3021</v>
      </c>
    </row>
    <row r="113" spans="1:10" ht="14.25" customHeight="1" x14ac:dyDescent="0.3">
      <c r="A113" s="3">
        <v>45635</v>
      </c>
      <c r="B113" s="2" t="s">
        <v>25</v>
      </c>
      <c r="C113" s="15">
        <v>736</v>
      </c>
      <c r="D113" s="15">
        <v>163</v>
      </c>
      <c r="E113" s="15">
        <f t="shared" si="2"/>
        <v>573</v>
      </c>
      <c r="F113" s="23">
        <f t="shared" si="3"/>
        <v>1.2696063334079292E-3</v>
      </c>
      <c r="G113" s="15">
        <v>451894</v>
      </c>
      <c r="H113" s="2">
        <v>5.43</v>
      </c>
      <c r="I113" s="20">
        <v>46625</v>
      </c>
      <c r="J113">
        <f>Post!I113</f>
        <v>3072</v>
      </c>
    </row>
    <row r="114" spans="1:10" ht="14.25" customHeight="1" x14ac:dyDescent="0.3">
      <c r="A114" s="3">
        <v>45642</v>
      </c>
      <c r="B114" s="2" t="s">
        <v>27</v>
      </c>
      <c r="C114" s="15">
        <v>1502</v>
      </c>
      <c r="D114" s="15">
        <v>70</v>
      </c>
      <c r="E114" s="15">
        <f t="shared" si="2"/>
        <v>1432</v>
      </c>
      <c r="F114" s="23">
        <f t="shared" si="3"/>
        <v>3.0854022981076056E-3</v>
      </c>
      <c r="G114" s="15">
        <v>465553</v>
      </c>
      <c r="H114" s="2">
        <v>3.32</v>
      </c>
      <c r="I114" s="20">
        <v>20692</v>
      </c>
      <c r="J114">
        <f>Post!I114</f>
        <v>5024</v>
      </c>
    </row>
    <row r="115" spans="1:10" ht="14.25" customHeight="1" x14ac:dyDescent="0.3">
      <c r="A115" s="3">
        <v>45642</v>
      </c>
      <c r="B115" s="2" t="s">
        <v>33</v>
      </c>
      <c r="C115" s="15">
        <v>1623</v>
      </c>
      <c r="D115" s="15">
        <v>246</v>
      </c>
      <c r="E115" s="15">
        <f t="shared" si="2"/>
        <v>1377</v>
      </c>
      <c r="F115" s="23">
        <f t="shared" si="3"/>
        <v>3.3225717718935038E-3</v>
      </c>
      <c r="G115" s="15">
        <v>415815</v>
      </c>
      <c r="H115" s="2">
        <v>8.11</v>
      </c>
      <c r="I115" s="20">
        <v>18656</v>
      </c>
      <c r="J115">
        <f>Post!I115</f>
        <v>5177</v>
      </c>
    </row>
    <row r="116" spans="1:10" ht="14.25" customHeight="1" x14ac:dyDescent="0.3">
      <c r="A116" s="3">
        <v>45642</v>
      </c>
      <c r="B116" s="2" t="s">
        <v>14</v>
      </c>
      <c r="C116" s="15">
        <v>1592</v>
      </c>
      <c r="D116" s="15">
        <v>233</v>
      </c>
      <c r="E116" s="15">
        <f t="shared" si="2"/>
        <v>1359</v>
      </c>
      <c r="F116" s="23">
        <f t="shared" si="3"/>
        <v>4.1709634649381259E-3</v>
      </c>
      <c r="G116" s="15">
        <v>327183</v>
      </c>
      <c r="H116" s="2">
        <v>6.66</v>
      </c>
      <c r="I116" s="20">
        <v>13316</v>
      </c>
      <c r="J116">
        <f>Post!I116</f>
        <v>2634</v>
      </c>
    </row>
    <row r="117" spans="1:10" ht="14.25" customHeight="1" x14ac:dyDescent="0.3">
      <c r="A117" s="3">
        <v>45642</v>
      </c>
      <c r="B117" s="2" t="s">
        <v>25</v>
      </c>
      <c r="C117" s="15">
        <v>1004</v>
      </c>
      <c r="D117" s="15">
        <v>128</v>
      </c>
      <c r="E117" s="15">
        <f t="shared" si="2"/>
        <v>876</v>
      </c>
      <c r="F117" s="23">
        <f t="shared" si="3"/>
        <v>1.7949900107576456E-3</v>
      </c>
      <c r="G117" s="15">
        <v>488901</v>
      </c>
      <c r="H117" s="2">
        <v>8.09</v>
      </c>
      <c r="I117" s="20">
        <v>49558</v>
      </c>
      <c r="J117">
        <f>Post!I117</f>
        <v>4348</v>
      </c>
    </row>
    <row r="118" spans="1:10" ht="14.25" customHeight="1" x14ac:dyDescent="0.3">
      <c r="A118" s="3">
        <v>45649</v>
      </c>
      <c r="B118" s="2" t="s">
        <v>27</v>
      </c>
      <c r="C118" s="15">
        <v>1092</v>
      </c>
      <c r="D118" s="15">
        <v>408</v>
      </c>
      <c r="E118" s="15">
        <f t="shared" si="2"/>
        <v>684</v>
      </c>
      <c r="F118" s="23">
        <f t="shared" si="3"/>
        <v>2.4418891082463737E-3</v>
      </c>
      <c r="G118" s="15">
        <v>280795</v>
      </c>
      <c r="H118" s="2">
        <v>8.44</v>
      </c>
      <c r="I118" s="20">
        <v>4683</v>
      </c>
      <c r="J118">
        <f>Post!I118</f>
        <v>2462</v>
      </c>
    </row>
    <row r="119" spans="1:10" ht="14.25" customHeight="1" x14ac:dyDescent="0.3">
      <c r="A119" s="3">
        <v>45649</v>
      </c>
      <c r="B119" s="2" t="s">
        <v>33</v>
      </c>
      <c r="C119" s="15">
        <v>1155</v>
      </c>
      <c r="D119" s="15">
        <v>425</v>
      </c>
      <c r="E119" s="15">
        <f t="shared" si="2"/>
        <v>730</v>
      </c>
      <c r="F119" s="23">
        <f t="shared" si="3"/>
        <v>7.8819223252750582E-3</v>
      </c>
      <c r="G119" s="15">
        <v>93347</v>
      </c>
      <c r="H119" s="2">
        <v>2.02</v>
      </c>
      <c r="I119" s="20">
        <v>47502</v>
      </c>
      <c r="J119">
        <f>Post!I119</f>
        <v>5472</v>
      </c>
    </row>
    <row r="120" spans="1:10" ht="14.25" customHeight="1" x14ac:dyDescent="0.3">
      <c r="A120" s="3">
        <v>45649</v>
      </c>
      <c r="B120" s="2" t="s">
        <v>14</v>
      </c>
      <c r="C120" s="15">
        <v>1137</v>
      </c>
      <c r="D120" s="15">
        <v>226</v>
      </c>
      <c r="E120" s="15">
        <f t="shared" si="2"/>
        <v>911</v>
      </c>
      <c r="F120" s="23">
        <f t="shared" si="3"/>
        <v>1.1357969279872333E-2</v>
      </c>
      <c r="G120" s="15">
        <v>81119</v>
      </c>
      <c r="H120" s="2">
        <v>7.74</v>
      </c>
      <c r="I120" s="20">
        <v>35359</v>
      </c>
      <c r="J120">
        <f>Post!I120</f>
        <v>3123</v>
      </c>
    </row>
    <row r="121" spans="1:10" ht="14.25" customHeight="1" x14ac:dyDescent="0.3">
      <c r="A121" s="3">
        <v>45649</v>
      </c>
      <c r="B121" s="2" t="s">
        <v>25</v>
      </c>
      <c r="C121" s="15">
        <v>1900</v>
      </c>
      <c r="D121" s="15">
        <v>311</v>
      </c>
      <c r="E121" s="15">
        <f t="shared" si="2"/>
        <v>1589</v>
      </c>
      <c r="F121" s="23">
        <f t="shared" si="3"/>
        <v>6.7364761743259283E-2</v>
      </c>
      <c r="G121" s="15">
        <v>25177</v>
      </c>
      <c r="H121" s="2">
        <v>2.89</v>
      </c>
      <c r="I121" s="20">
        <v>14154</v>
      </c>
      <c r="J121">
        <f>Post!I121</f>
        <v>2009</v>
      </c>
    </row>
    <row r="122" spans="1:10" ht="14.25" customHeight="1" x14ac:dyDescent="0.3">
      <c r="A122" s="3">
        <v>45656</v>
      </c>
      <c r="B122" s="2" t="s">
        <v>27</v>
      </c>
      <c r="C122" s="15">
        <v>1814</v>
      </c>
      <c r="D122" s="15">
        <v>49</v>
      </c>
      <c r="E122" s="15">
        <f t="shared" si="2"/>
        <v>1765</v>
      </c>
      <c r="F122" s="23">
        <f t="shared" si="3"/>
        <v>1.2694280022152058E-2</v>
      </c>
      <c r="G122" s="15">
        <v>140804</v>
      </c>
      <c r="H122" s="2">
        <v>1.76</v>
      </c>
      <c r="I122" s="20">
        <v>4313</v>
      </c>
      <c r="J122">
        <f>Post!I122</f>
        <v>1611</v>
      </c>
    </row>
    <row r="123" spans="1:10" ht="14.25" customHeight="1" x14ac:dyDescent="0.3">
      <c r="A123" s="3">
        <v>45656</v>
      </c>
      <c r="B123" s="2" t="s">
        <v>33</v>
      </c>
      <c r="C123" s="15">
        <v>1980</v>
      </c>
      <c r="D123" s="15">
        <v>204</v>
      </c>
      <c r="E123" s="15">
        <f t="shared" si="2"/>
        <v>1776</v>
      </c>
      <c r="F123" s="23">
        <f t="shared" si="3"/>
        <v>4.7027048496643764E-3</v>
      </c>
      <c r="G123" s="15">
        <v>379431</v>
      </c>
      <c r="H123" s="2">
        <v>3.09</v>
      </c>
      <c r="I123" s="20">
        <v>25140</v>
      </c>
      <c r="J123">
        <f>Post!I123</f>
        <v>4424</v>
      </c>
    </row>
    <row r="124" spans="1:10" ht="14.25" customHeight="1" x14ac:dyDescent="0.3">
      <c r="A124" s="3">
        <v>45656</v>
      </c>
      <c r="B124" s="2" t="s">
        <v>14</v>
      </c>
      <c r="C124" s="15">
        <v>1786</v>
      </c>
      <c r="D124" s="15">
        <v>257</v>
      </c>
      <c r="E124" s="15">
        <f t="shared" si="2"/>
        <v>1529</v>
      </c>
      <c r="F124" s="23">
        <f t="shared" si="3"/>
        <v>5.5945437647730353E-3</v>
      </c>
      <c r="G124" s="15">
        <v>274831</v>
      </c>
      <c r="H124" s="2">
        <v>4.68</v>
      </c>
      <c r="I124" s="20">
        <v>9118</v>
      </c>
      <c r="J124">
        <f>Post!I124</f>
        <v>5152</v>
      </c>
    </row>
    <row r="125" spans="1:10" ht="14.25" customHeight="1" x14ac:dyDescent="0.3">
      <c r="A125" s="3">
        <v>45656</v>
      </c>
      <c r="B125" s="2" t="s">
        <v>25</v>
      </c>
      <c r="C125" s="15">
        <v>1495</v>
      </c>
      <c r="D125" s="15">
        <v>35</v>
      </c>
      <c r="E125" s="15">
        <f t="shared" si="2"/>
        <v>1460</v>
      </c>
      <c r="F125" s="23">
        <f t="shared" si="3"/>
        <v>1.0784060272556044E-2</v>
      </c>
      <c r="G125" s="15">
        <v>136845</v>
      </c>
      <c r="H125" s="2">
        <v>4.4800000000000004</v>
      </c>
      <c r="I125" s="20">
        <v>39931</v>
      </c>
      <c r="J125">
        <f>Post!I125</f>
        <v>1732</v>
      </c>
    </row>
    <row r="126" spans="1:10" ht="14.25" customHeight="1" x14ac:dyDescent="0.3">
      <c r="A126" s="3">
        <v>45663</v>
      </c>
      <c r="B126" s="2" t="s">
        <v>27</v>
      </c>
      <c r="C126" s="15">
        <v>1013</v>
      </c>
      <c r="D126" s="15">
        <v>110</v>
      </c>
      <c r="E126" s="15">
        <f t="shared" si="2"/>
        <v>903</v>
      </c>
      <c r="F126" s="23">
        <f t="shared" si="3"/>
        <v>1.9399371400213544E-3</v>
      </c>
      <c r="G126" s="15">
        <v>466382</v>
      </c>
      <c r="H126" s="2">
        <v>5.3</v>
      </c>
      <c r="I126" s="20">
        <v>37132</v>
      </c>
      <c r="J126">
        <f>Post!I126</f>
        <v>4893</v>
      </c>
    </row>
    <row r="127" spans="1:10" ht="14.25" customHeight="1" x14ac:dyDescent="0.3">
      <c r="A127" s="3">
        <v>45663</v>
      </c>
      <c r="B127" s="2" t="s">
        <v>33</v>
      </c>
      <c r="C127" s="15">
        <v>816</v>
      </c>
      <c r="D127" s="15">
        <v>196</v>
      </c>
      <c r="E127" s="15">
        <f t="shared" si="2"/>
        <v>620</v>
      </c>
      <c r="F127" s="23">
        <f t="shared" si="3"/>
        <v>6.51890482398957E-3</v>
      </c>
      <c r="G127" s="15">
        <v>95728</v>
      </c>
      <c r="H127" s="2">
        <v>8.1999999999999993</v>
      </c>
      <c r="I127" s="20">
        <v>17951</v>
      </c>
      <c r="J127">
        <f>Post!I127</f>
        <v>4566</v>
      </c>
    </row>
    <row r="128" spans="1:10" ht="14.25" customHeight="1" x14ac:dyDescent="0.3">
      <c r="A128" s="3">
        <v>45663</v>
      </c>
      <c r="B128" s="2" t="s">
        <v>14</v>
      </c>
      <c r="C128" s="15">
        <v>1633</v>
      </c>
      <c r="D128" s="15">
        <v>445</v>
      </c>
      <c r="E128" s="15">
        <f t="shared" si="2"/>
        <v>1188</v>
      </c>
      <c r="F128" s="23">
        <f t="shared" si="3"/>
        <v>3.2110885265752712E-3</v>
      </c>
      <c r="G128" s="15">
        <v>371156</v>
      </c>
      <c r="H128" s="2">
        <v>2.2200000000000002</v>
      </c>
      <c r="I128" s="20">
        <v>2798</v>
      </c>
      <c r="J128">
        <f>Post!I128</f>
        <v>4546</v>
      </c>
    </row>
    <row r="129" spans="1:10" ht="14.25" customHeight="1" x14ac:dyDescent="0.3">
      <c r="A129" s="3">
        <v>45663</v>
      </c>
      <c r="B129" s="2" t="s">
        <v>25</v>
      </c>
      <c r="C129" s="15">
        <v>891</v>
      </c>
      <c r="D129" s="15">
        <v>45</v>
      </c>
      <c r="E129" s="15">
        <f t="shared" si="2"/>
        <v>846</v>
      </c>
      <c r="F129" s="23">
        <f t="shared" si="3"/>
        <v>8.9463220675944331E-3</v>
      </c>
      <c r="G129" s="15">
        <v>95410</v>
      </c>
      <c r="H129" s="2">
        <v>8.33</v>
      </c>
      <c r="I129" s="20">
        <v>15045</v>
      </c>
      <c r="J129">
        <f>Post!I129</f>
        <v>3489</v>
      </c>
    </row>
    <row r="130" spans="1:10" ht="14.25" customHeight="1" x14ac:dyDescent="0.3">
      <c r="A130" s="3">
        <v>45670</v>
      </c>
      <c r="B130" s="2" t="s">
        <v>27</v>
      </c>
      <c r="C130" s="15">
        <v>1855</v>
      </c>
      <c r="D130" s="15">
        <v>133</v>
      </c>
      <c r="E130" s="15">
        <f t="shared" si="2"/>
        <v>1722</v>
      </c>
      <c r="F130" s="23">
        <f t="shared" si="3"/>
        <v>4.9526734945684533E-3</v>
      </c>
      <c r="G130" s="15">
        <v>349413</v>
      </c>
      <c r="H130" s="2">
        <v>3.3</v>
      </c>
      <c r="I130" s="20">
        <v>14548</v>
      </c>
      <c r="J130">
        <f>Post!I130</f>
        <v>2970</v>
      </c>
    </row>
    <row r="131" spans="1:10" ht="14.25" customHeight="1" x14ac:dyDescent="0.3">
      <c r="A131" s="3">
        <v>45670</v>
      </c>
      <c r="B131" s="2" t="s">
        <v>33</v>
      </c>
      <c r="C131" s="15">
        <v>651</v>
      </c>
      <c r="D131" s="15">
        <v>353</v>
      </c>
      <c r="E131" s="15">
        <f t="shared" ref="E131:E194" si="4">C131-D131</f>
        <v>298</v>
      </c>
      <c r="F131" s="23">
        <f t="shared" ref="F131:F194" si="5">(C131-D131)/(G131-(C131-D131))</f>
        <v>1.3279798218368011E-3</v>
      </c>
      <c r="G131" s="15">
        <v>224699</v>
      </c>
      <c r="H131" s="2">
        <v>5.61</v>
      </c>
      <c r="I131" s="20">
        <v>45708</v>
      </c>
      <c r="J131">
        <f>Post!I131</f>
        <v>3419</v>
      </c>
    </row>
    <row r="132" spans="1:10" ht="14.25" customHeight="1" x14ac:dyDescent="0.3">
      <c r="A132" s="3">
        <v>45670</v>
      </c>
      <c r="B132" s="2" t="s">
        <v>14</v>
      </c>
      <c r="C132" s="15">
        <v>118</v>
      </c>
      <c r="D132" s="15">
        <v>262</v>
      </c>
      <c r="E132" s="15">
        <f t="shared" si="4"/>
        <v>-144</v>
      </c>
      <c r="F132" s="23">
        <f t="shared" si="5"/>
        <v>-2.9505778214900419E-4</v>
      </c>
      <c r="G132" s="15">
        <v>487896</v>
      </c>
      <c r="H132" s="2">
        <v>2.56</v>
      </c>
      <c r="I132" s="20">
        <v>12350</v>
      </c>
      <c r="J132">
        <f>Post!I132</f>
        <v>5709</v>
      </c>
    </row>
    <row r="133" spans="1:10" ht="14.25" customHeight="1" x14ac:dyDescent="0.3">
      <c r="A133" s="3">
        <v>45670</v>
      </c>
      <c r="B133" s="2" t="s">
        <v>25</v>
      </c>
      <c r="C133" s="15">
        <v>1331</v>
      </c>
      <c r="D133" s="15">
        <v>430</v>
      </c>
      <c r="E133" s="15">
        <f t="shared" si="4"/>
        <v>901</v>
      </c>
      <c r="F133" s="23">
        <f t="shared" si="5"/>
        <v>6.6563238770685582E-2</v>
      </c>
      <c r="G133" s="15">
        <v>14437</v>
      </c>
      <c r="H133" s="2">
        <v>3.29</v>
      </c>
      <c r="I133" s="20">
        <v>40868</v>
      </c>
      <c r="J133">
        <f>Post!I133</f>
        <v>2890</v>
      </c>
    </row>
    <row r="134" spans="1:10" ht="14.25" customHeight="1" x14ac:dyDescent="0.3">
      <c r="A134" s="3">
        <v>45677</v>
      </c>
      <c r="B134" s="2" t="s">
        <v>27</v>
      </c>
      <c r="C134" s="15">
        <v>1748</v>
      </c>
      <c r="D134" s="15">
        <v>176</v>
      </c>
      <c r="E134" s="15">
        <f t="shared" si="4"/>
        <v>1572</v>
      </c>
      <c r="F134" s="23">
        <f t="shared" si="5"/>
        <v>4.1140093533520543E-3</v>
      </c>
      <c r="G134" s="15">
        <v>383681</v>
      </c>
      <c r="H134" s="2">
        <v>9.24</v>
      </c>
      <c r="I134" s="20">
        <v>43122</v>
      </c>
      <c r="J134">
        <f>Post!I134</f>
        <v>2675</v>
      </c>
    </row>
    <row r="135" spans="1:10" ht="14.25" customHeight="1" x14ac:dyDescent="0.3">
      <c r="A135" s="3">
        <v>45677</v>
      </c>
      <c r="B135" s="2" t="s">
        <v>33</v>
      </c>
      <c r="C135" s="15">
        <v>663</v>
      </c>
      <c r="D135" s="15">
        <v>236</v>
      </c>
      <c r="E135" s="15">
        <f t="shared" si="4"/>
        <v>427</v>
      </c>
      <c r="F135" s="23">
        <f t="shared" si="5"/>
        <v>8.9132327063455119E-4</v>
      </c>
      <c r="G135" s="15">
        <v>479490</v>
      </c>
      <c r="H135" s="2">
        <v>4.51</v>
      </c>
      <c r="I135" s="20">
        <v>23853</v>
      </c>
      <c r="J135">
        <f>Post!I135</f>
        <v>3981</v>
      </c>
    </row>
    <row r="136" spans="1:10" ht="14.25" customHeight="1" x14ac:dyDescent="0.3">
      <c r="A136" s="3">
        <v>45677</v>
      </c>
      <c r="B136" s="2" t="s">
        <v>14</v>
      </c>
      <c r="C136" s="15">
        <v>1040</v>
      </c>
      <c r="D136" s="15">
        <v>149</v>
      </c>
      <c r="E136" s="15">
        <f t="shared" si="4"/>
        <v>891</v>
      </c>
      <c r="F136" s="23">
        <f t="shared" si="5"/>
        <v>7.2138155497801851E-3</v>
      </c>
      <c r="G136" s="15">
        <v>124404</v>
      </c>
      <c r="H136" s="2">
        <v>5.23</v>
      </c>
      <c r="I136" s="20">
        <v>45380</v>
      </c>
      <c r="J136">
        <f>Post!I136</f>
        <v>4900</v>
      </c>
    </row>
    <row r="137" spans="1:10" ht="14.25" customHeight="1" x14ac:dyDescent="0.3">
      <c r="A137" s="3">
        <v>45677</v>
      </c>
      <c r="B137" s="2" t="s">
        <v>25</v>
      </c>
      <c r="C137" s="15">
        <v>1166</v>
      </c>
      <c r="D137" s="15">
        <v>442</v>
      </c>
      <c r="E137" s="15">
        <f t="shared" si="4"/>
        <v>724</v>
      </c>
      <c r="F137" s="23">
        <f t="shared" si="5"/>
        <v>2.1533199494386201E-3</v>
      </c>
      <c r="G137" s="15">
        <v>336949</v>
      </c>
      <c r="H137" s="2">
        <v>4.68</v>
      </c>
      <c r="I137" s="20">
        <v>7705</v>
      </c>
      <c r="J137">
        <f>Post!I137</f>
        <v>4466</v>
      </c>
    </row>
    <row r="138" spans="1:10" ht="14.25" customHeight="1" x14ac:dyDescent="0.3">
      <c r="A138" s="3">
        <v>45684</v>
      </c>
      <c r="B138" s="2" t="s">
        <v>27</v>
      </c>
      <c r="C138" s="15">
        <v>115</v>
      </c>
      <c r="D138" s="15">
        <v>281</v>
      </c>
      <c r="E138" s="15">
        <f t="shared" si="4"/>
        <v>-166</v>
      </c>
      <c r="F138" s="23">
        <f t="shared" si="5"/>
        <v>-4.6442530166661538E-4</v>
      </c>
      <c r="G138" s="15">
        <v>357265</v>
      </c>
      <c r="H138" s="2">
        <v>9.23</v>
      </c>
      <c r="I138" s="20">
        <v>25525</v>
      </c>
      <c r="J138">
        <f>Post!I138</f>
        <v>3139</v>
      </c>
    </row>
    <row r="139" spans="1:10" ht="14.25" customHeight="1" x14ac:dyDescent="0.3">
      <c r="A139" s="3">
        <v>45684</v>
      </c>
      <c r="B139" s="2" t="s">
        <v>33</v>
      </c>
      <c r="C139" s="15">
        <v>1249</v>
      </c>
      <c r="D139" s="15">
        <v>351</v>
      </c>
      <c r="E139" s="15">
        <f t="shared" si="4"/>
        <v>898</v>
      </c>
      <c r="F139" s="23">
        <f t="shared" si="5"/>
        <v>2.8026678401667868E-3</v>
      </c>
      <c r="G139" s="15">
        <v>321307</v>
      </c>
      <c r="H139" s="2">
        <v>6.37</v>
      </c>
      <c r="I139" s="20">
        <v>20560</v>
      </c>
      <c r="J139">
        <f>Post!I139</f>
        <v>735</v>
      </c>
    </row>
    <row r="140" spans="1:10" ht="14.25" customHeight="1" x14ac:dyDescent="0.3">
      <c r="A140" s="3">
        <v>45684</v>
      </c>
      <c r="B140" s="2" t="s">
        <v>14</v>
      </c>
      <c r="C140" s="15">
        <v>1501</v>
      </c>
      <c r="D140" s="15">
        <v>75</v>
      </c>
      <c r="E140" s="15">
        <f t="shared" si="4"/>
        <v>1426</v>
      </c>
      <c r="F140" s="23">
        <f t="shared" si="5"/>
        <v>5.4606097042616498E-3</v>
      </c>
      <c r="G140" s="15">
        <v>262569</v>
      </c>
      <c r="H140" s="2">
        <v>2.0099999999999998</v>
      </c>
      <c r="I140" s="20">
        <v>19119</v>
      </c>
      <c r="J140">
        <f>Post!I140</f>
        <v>3105</v>
      </c>
    </row>
    <row r="141" spans="1:10" ht="14.25" customHeight="1" x14ac:dyDescent="0.3">
      <c r="A141" s="3">
        <v>45684</v>
      </c>
      <c r="B141" s="2" t="s">
        <v>25</v>
      </c>
      <c r="C141" s="15">
        <v>1411</v>
      </c>
      <c r="D141" s="15">
        <v>186</v>
      </c>
      <c r="E141" s="15">
        <f t="shared" si="4"/>
        <v>1225</v>
      </c>
      <c r="F141" s="23">
        <f t="shared" si="5"/>
        <v>2.660475540999557E-3</v>
      </c>
      <c r="G141" s="15">
        <v>461669</v>
      </c>
      <c r="H141" s="2">
        <v>3.72</v>
      </c>
      <c r="I141" s="20">
        <v>43999</v>
      </c>
      <c r="J141">
        <f>Post!I141</f>
        <v>2854</v>
      </c>
    </row>
    <row r="142" spans="1:10" ht="14.25" customHeight="1" x14ac:dyDescent="0.3">
      <c r="A142" s="3">
        <v>45691</v>
      </c>
      <c r="B142" s="2" t="s">
        <v>27</v>
      </c>
      <c r="C142" s="15">
        <v>1556</v>
      </c>
      <c r="D142" s="15">
        <v>476</v>
      </c>
      <c r="E142" s="15">
        <f t="shared" si="4"/>
        <v>1080</v>
      </c>
      <c r="F142" s="23">
        <f t="shared" si="5"/>
        <v>3.0815234138714207E-3</v>
      </c>
      <c r="G142" s="15">
        <v>351556</v>
      </c>
      <c r="H142" s="2">
        <v>3.89</v>
      </c>
      <c r="I142" s="20">
        <v>10825</v>
      </c>
      <c r="J142">
        <f>Post!I142</f>
        <v>4406</v>
      </c>
    </row>
    <row r="143" spans="1:10" ht="14.25" customHeight="1" x14ac:dyDescent="0.3">
      <c r="A143" s="3">
        <v>45691</v>
      </c>
      <c r="B143" s="2" t="s">
        <v>33</v>
      </c>
      <c r="C143" s="15">
        <v>1159</v>
      </c>
      <c r="D143" s="15">
        <v>411</v>
      </c>
      <c r="E143" s="15">
        <f t="shared" si="4"/>
        <v>748</v>
      </c>
      <c r="F143" s="23">
        <f t="shared" si="5"/>
        <v>5.5309489126657251E-3</v>
      </c>
      <c r="G143" s="15">
        <v>135987</v>
      </c>
      <c r="H143" s="2">
        <v>8.6999999999999993</v>
      </c>
      <c r="I143" s="20">
        <v>40323</v>
      </c>
      <c r="J143">
        <f>Post!I143</f>
        <v>2731</v>
      </c>
    </row>
    <row r="144" spans="1:10" ht="14.25" customHeight="1" x14ac:dyDescent="0.3">
      <c r="A144" s="3">
        <v>45691</v>
      </c>
      <c r="B144" s="2" t="s">
        <v>14</v>
      </c>
      <c r="C144" s="15">
        <v>927</v>
      </c>
      <c r="D144" s="15">
        <v>358</v>
      </c>
      <c r="E144" s="15">
        <f t="shared" si="4"/>
        <v>569</v>
      </c>
      <c r="F144" s="23">
        <f t="shared" si="5"/>
        <v>3.2149617199197672E-3</v>
      </c>
      <c r="G144" s="15">
        <v>177554</v>
      </c>
      <c r="H144" s="2">
        <v>6.95</v>
      </c>
      <c r="I144" s="20">
        <v>48270</v>
      </c>
      <c r="J144">
        <f>Post!I144</f>
        <v>522</v>
      </c>
    </row>
    <row r="145" spans="1:10" ht="14.25" customHeight="1" x14ac:dyDescent="0.3">
      <c r="A145" s="3">
        <v>45691</v>
      </c>
      <c r="B145" s="2" t="s">
        <v>25</v>
      </c>
      <c r="C145" s="15">
        <v>152</v>
      </c>
      <c r="D145" s="15">
        <v>355</v>
      </c>
      <c r="E145" s="15">
        <f t="shared" si="4"/>
        <v>-203</v>
      </c>
      <c r="F145" s="23">
        <f t="shared" si="5"/>
        <v>-7.4916318840900623E-4</v>
      </c>
      <c r="G145" s="15">
        <v>270766</v>
      </c>
      <c r="H145" s="2">
        <v>9.48</v>
      </c>
      <c r="I145" s="20">
        <v>18001</v>
      </c>
      <c r="J145">
        <f>Post!I145</f>
        <v>6130</v>
      </c>
    </row>
    <row r="146" spans="1:10" ht="14.25" customHeight="1" x14ac:dyDescent="0.3">
      <c r="A146" s="3">
        <v>45698</v>
      </c>
      <c r="B146" s="2" t="s">
        <v>27</v>
      </c>
      <c r="C146" s="15">
        <v>1957</v>
      </c>
      <c r="D146" s="15">
        <v>234</v>
      </c>
      <c r="E146" s="15">
        <f t="shared" si="4"/>
        <v>1723</v>
      </c>
      <c r="F146" s="23">
        <f t="shared" si="5"/>
        <v>7.8174979469426455E-3</v>
      </c>
      <c r="G146" s="15">
        <v>222126</v>
      </c>
      <c r="H146" s="2">
        <v>4.6100000000000003</v>
      </c>
      <c r="I146" s="20">
        <v>3314</v>
      </c>
      <c r="J146">
        <f>Post!I146</f>
        <v>2119</v>
      </c>
    </row>
    <row r="147" spans="1:10" ht="14.25" customHeight="1" x14ac:dyDescent="0.3">
      <c r="A147" s="3">
        <v>45698</v>
      </c>
      <c r="B147" s="2" t="s">
        <v>33</v>
      </c>
      <c r="C147" s="15">
        <v>1294</v>
      </c>
      <c r="D147" s="15">
        <v>382</v>
      </c>
      <c r="E147" s="15">
        <f t="shared" si="4"/>
        <v>912</v>
      </c>
      <c r="F147" s="23">
        <f t="shared" si="5"/>
        <v>2.951437207526165E-3</v>
      </c>
      <c r="G147" s="15">
        <v>309914</v>
      </c>
      <c r="H147" s="2">
        <v>8.0299999999999994</v>
      </c>
      <c r="I147" s="20">
        <v>23489</v>
      </c>
      <c r="J147">
        <f>Post!I147</f>
        <v>3979</v>
      </c>
    </row>
    <row r="148" spans="1:10" ht="14.25" customHeight="1" x14ac:dyDescent="0.3">
      <c r="A148" s="3">
        <v>45698</v>
      </c>
      <c r="B148" s="2" t="s">
        <v>14</v>
      </c>
      <c r="C148" s="15">
        <v>1587</v>
      </c>
      <c r="D148" s="15">
        <v>385</v>
      </c>
      <c r="E148" s="15">
        <f t="shared" si="4"/>
        <v>1202</v>
      </c>
      <c r="F148" s="23">
        <f t="shared" si="5"/>
        <v>9.5868559578880207E-3</v>
      </c>
      <c r="G148" s="15">
        <v>126582</v>
      </c>
      <c r="H148" s="2">
        <v>6.99</v>
      </c>
      <c r="I148" s="20">
        <v>42832</v>
      </c>
      <c r="J148">
        <f>Post!I148</f>
        <v>3981</v>
      </c>
    </row>
    <row r="149" spans="1:10" ht="14.25" customHeight="1" x14ac:dyDescent="0.3">
      <c r="A149" s="3">
        <v>45698</v>
      </c>
      <c r="B149" s="2" t="s">
        <v>25</v>
      </c>
      <c r="C149" s="15">
        <v>1707</v>
      </c>
      <c r="D149" s="15">
        <v>263</v>
      </c>
      <c r="E149" s="15">
        <f t="shared" si="4"/>
        <v>1444</v>
      </c>
      <c r="F149" s="23">
        <f t="shared" si="5"/>
        <v>2.9844823452574837E-3</v>
      </c>
      <c r="G149" s="15">
        <v>485280</v>
      </c>
      <c r="H149" s="2">
        <v>9.0299999999999994</v>
      </c>
      <c r="I149" s="20">
        <v>24494</v>
      </c>
      <c r="J149">
        <f>Post!I149</f>
        <v>4926</v>
      </c>
    </row>
    <row r="150" spans="1:10" ht="14.25" customHeight="1" x14ac:dyDescent="0.3">
      <c r="A150" s="3">
        <v>45705</v>
      </c>
      <c r="B150" s="2" t="s">
        <v>27</v>
      </c>
      <c r="C150" s="15">
        <v>1138</v>
      </c>
      <c r="D150" s="15">
        <v>173</v>
      </c>
      <c r="E150" s="15">
        <f t="shared" si="4"/>
        <v>965</v>
      </c>
      <c r="F150" s="23">
        <f t="shared" si="5"/>
        <v>2.1336434670711376E-3</v>
      </c>
      <c r="G150" s="15">
        <v>453243</v>
      </c>
      <c r="H150" s="2">
        <v>2.86</v>
      </c>
      <c r="I150" s="20">
        <v>44097</v>
      </c>
      <c r="J150">
        <f>Post!I150</f>
        <v>2631</v>
      </c>
    </row>
    <row r="151" spans="1:10" ht="14.25" customHeight="1" x14ac:dyDescent="0.3">
      <c r="A151" s="3">
        <v>45705</v>
      </c>
      <c r="B151" s="2" t="s">
        <v>33</v>
      </c>
      <c r="C151" s="15">
        <v>1895</v>
      </c>
      <c r="D151" s="15">
        <v>305</v>
      </c>
      <c r="E151" s="15">
        <f t="shared" si="4"/>
        <v>1590</v>
      </c>
      <c r="F151" s="23">
        <f t="shared" si="5"/>
        <v>1.5380597231492498E-2</v>
      </c>
      <c r="G151" s="15">
        <v>104967</v>
      </c>
      <c r="H151" s="2">
        <v>3.85</v>
      </c>
      <c r="I151" s="20">
        <v>31853</v>
      </c>
      <c r="J151">
        <f>Post!I151</f>
        <v>5473</v>
      </c>
    </row>
    <row r="152" spans="1:10" ht="14.25" customHeight="1" x14ac:dyDescent="0.3">
      <c r="A152" s="3">
        <v>45705</v>
      </c>
      <c r="B152" s="2" t="s">
        <v>14</v>
      </c>
      <c r="C152" s="15">
        <v>362</v>
      </c>
      <c r="D152" s="15">
        <v>399</v>
      </c>
      <c r="E152" s="15">
        <f t="shared" si="4"/>
        <v>-37</v>
      </c>
      <c r="F152" s="23">
        <f t="shared" si="5"/>
        <v>-2.5404236328057951E-4</v>
      </c>
      <c r="G152" s="15">
        <v>145608</v>
      </c>
      <c r="H152" s="2">
        <v>7.3</v>
      </c>
      <c r="I152" s="20">
        <v>37636</v>
      </c>
      <c r="J152">
        <f>Post!I152</f>
        <v>3907</v>
      </c>
    </row>
    <row r="153" spans="1:10" ht="14.25" customHeight="1" x14ac:dyDescent="0.3">
      <c r="A153" s="3">
        <v>45705</v>
      </c>
      <c r="B153" s="2" t="s">
        <v>25</v>
      </c>
      <c r="C153" s="15">
        <v>1662</v>
      </c>
      <c r="D153" s="15">
        <v>487</v>
      </c>
      <c r="E153" s="15">
        <f t="shared" si="4"/>
        <v>1175</v>
      </c>
      <c r="F153" s="23">
        <f t="shared" si="5"/>
        <v>1.1211297170936501E-2</v>
      </c>
      <c r="G153" s="15">
        <v>105980</v>
      </c>
      <c r="H153" s="2">
        <v>9.08</v>
      </c>
      <c r="I153" s="20">
        <v>22996</v>
      </c>
      <c r="J153">
        <f>Post!I153</f>
        <v>5624</v>
      </c>
    </row>
    <row r="154" spans="1:10" ht="14.25" customHeight="1" x14ac:dyDescent="0.3">
      <c r="A154" s="3">
        <v>45712</v>
      </c>
      <c r="B154" s="2" t="s">
        <v>27</v>
      </c>
      <c r="C154" s="15">
        <v>1440</v>
      </c>
      <c r="D154" s="15">
        <v>65</v>
      </c>
      <c r="E154" s="15">
        <f t="shared" si="4"/>
        <v>1375</v>
      </c>
      <c r="F154" s="23">
        <f t="shared" si="5"/>
        <v>1.0986903610895812E-2</v>
      </c>
      <c r="G154" s="15">
        <v>126524</v>
      </c>
      <c r="H154" s="2">
        <v>4.34</v>
      </c>
      <c r="I154" s="20">
        <v>49772</v>
      </c>
      <c r="J154">
        <f>Post!I154</f>
        <v>1208</v>
      </c>
    </row>
    <row r="155" spans="1:10" ht="14.25" customHeight="1" x14ac:dyDescent="0.3">
      <c r="A155" s="3">
        <v>45712</v>
      </c>
      <c r="B155" s="2" t="s">
        <v>33</v>
      </c>
      <c r="C155" s="15">
        <v>1884</v>
      </c>
      <c r="D155" s="15">
        <v>177</v>
      </c>
      <c r="E155" s="15">
        <f t="shared" si="4"/>
        <v>1707</v>
      </c>
      <c r="F155" s="23">
        <f t="shared" si="5"/>
        <v>7.4625886920141118E-3</v>
      </c>
      <c r="G155" s="15">
        <v>230448</v>
      </c>
      <c r="H155" s="2">
        <v>7.8</v>
      </c>
      <c r="I155" s="20">
        <v>22713</v>
      </c>
      <c r="J155">
        <f>Post!I155</f>
        <v>2204</v>
      </c>
    </row>
    <row r="156" spans="1:10" ht="14.25" customHeight="1" x14ac:dyDescent="0.3">
      <c r="A156" s="3">
        <v>45712</v>
      </c>
      <c r="B156" s="2" t="s">
        <v>14</v>
      </c>
      <c r="C156" s="15">
        <v>861</v>
      </c>
      <c r="D156" s="15">
        <v>153</v>
      </c>
      <c r="E156" s="15">
        <f t="shared" si="4"/>
        <v>708</v>
      </c>
      <c r="F156" s="23">
        <f t="shared" si="5"/>
        <v>2.2383883603805262E-3</v>
      </c>
      <c r="G156" s="15">
        <v>317007</v>
      </c>
      <c r="H156" s="2">
        <v>3.85</v>
      </c>
      <c r="I156" s="20">
        <v>8718</v>
      </c>
      <c r="J156">
        <f>Post!I156</f>
        <v>2623</v>
      </c>
    </row>
    <row r="157" spans="1:10" ht="14.25" customHeight="1" x14ac:dyDescent="0.3">
      <c r="A157" s="3">
        <v>45712</v>
      </c>
      <c r="B157" s="2" t="s">
        <v>25</v>
      </c>
      <c r="C157" s="15">
        <v>1063</v>
      </c>
      <c r="D157" s="15">
        <v>47</v>
      </c>
      <c r="E157" s="15">
        <f t="shared" si="4"/>
        <v>1016</v>
      </c>
      <c r="F157" s="23">
        <f t="shared" si="5"/>
        <v>2.1933280515000334E-3</v>
      </c>
      <c r="G157" s="15">
        <v>464239</v>
      </c>
      <c r="H157" s="2">
        <v>6.58</v>
      </c>
      <c r="I157" s="20">
        <v>39031</v>
      </c>
      <c r="J157">
        <f>Post!I157</f>
        <v>4775</v>
      </c>
    </row>
    <row r="158" spans="1:10" ht="14.25" customHeight="1" x14ac:dyDescent="0.3">
      <c r="A158" s="3">
        <v>45719</v>
      </c>
      <c r="B158" s="2" t="s">
        <v>27</v>
      </c>
      <c r="C158" s="15">
        <v>1371</v>
      </c>
      <c r="D158" s="15">
        <v>56</v>
      </c>
      <c r="E158" s="15">
        <f t="shared" si="4"/>
        <v>1315</v>
      </c>
      <c r="F158" s="23">
        <f t="shared" si="5"/>
        <v>5.1314269659413726E-3</v>
      </c>
      <c r="G158" s="15">
        <v>257579</v>
      </c>
      <c r="H158" s="2">
        <v>8.6199999999999992</v>
      </c>
      <c r="I158" s="20">
        <v>33799</v>
      </c>
      <c r="J158">
        <f>Post!I158</f>
        <v>5154</v>
      </c>
    </row>
    <row r="159" spans="1:10" ht="14.25" customHeight="1" x14ac:dyDescent="0.3">
      <c r="A159" s="3">
        <v>45719</v>
      </c>
      <c r="B159" s="2" t="s">
        <v>33</v>
      </c>
      <c r="C159" s="15">
        <v>345</v>
      </c>
      <c r="D159" s="15">
        <v>464</v>
      </c>
      <c r="E159" s="15">
        <f t="shared" si="4"/>
        <v>-119</v>
      </c>
      <c r="F159" s="23">
        <f t="shared" si="5"/>
        <v>-3.242506811989101E-4</v>
      </c>
      <c r="G159" s="15">
        <v>366881</v>
      </c>
      <c r="H159" s="2">
        <v>4.55</v>
      </c>
      <c r="I159" s="20">
        <v>20553</v>
      </c>
      <c r="J159">
        <f>Post!I159</f>
        <v>2590</v>
      </c>
    </row>
    <row r="160" spans="1:10" ht="14.25" customHeight="1" x14ac:dyDescent="0.3">
      <c r="A160" s="3">
        <v>45719</v>
      </c>
      <c r="B160" s="2" t="s">
        <v>14</v>
      </c>
      <c r="C160" s="15">
        <v>946</v>
      </c>
      <c r="D160" s="15">
        <v>47</v>
      </c>
      <c r="E160" s="15">
        <f t="shared" si="4"/>
        <v>899</v>
      </c>
      <c r="F160" s="23">
        <f t="shared" si="5"/>
        <v>1.9305268040440133E-3</v>
      </c>
      <c r="G160" s="15">
        <v>466575</v>
      </c>
      <c r="H160" s="2">
        <v>8.33</v>
      </c>
      <c r="I160" s="20">
        <v>10002</v>
      </c>
      <c r="J160">
        <f>Post!I160</f>
        <v>2766</v>
      </c>
    </row>
    <row r="161" spans="1:10" ht="14.25" customHeight="1" x14ac:dyDescent="0.3">
      <c r="A161" s="3">
        <v>45719</v>
      </c>
      <c r="B161" s="2" t="s">
        <v>25</v>
      </c>
      <c r="C161" s="15">
        <v>510</v>
      </c>
      <c r="D161" s="15">
        <v>195</v>
      </c>
      <c r="E161" s="15">
        <f t="shared" si="4"/>
        <v>315</v>
      </c>
      <c r="F161" s="23">
        <f t="shared" si="5"/>
        <v>1.4048764823676851E-3</v>
      </c>
      <c r="G161" s="15">
        <v>224534</v>
      </c>
      <c r="H161" s="2">
        <v>9.4</v>
      </c>
      <c r="I161" s="20">
        <v>30987</v>
      </c>
      <c r="J161">
        <f>Post!I161</f>
        <v>1775</v>
      </c>
    </row>
    <row r="162" spans="1:10" ht="14.25" customHeight="1" x14ac:dyDescent="0.3">
      <c r="A162" s="3">
        <v>45726</v>
      </c>
      <c r="B162" s="2" t="s">
        <v>27</v>
      </c>
      <c r="C162" s="15">
        <v>393</v>
      </c>
      <c r="D162" s="15">
        <v>181</v>
      </c>
      <c r="E162" s="15">
        <f t="shared" si="4"/>
        <v>212</v>
      </c>
      <c r="F162" s="23">
        <f t="shared" si="5"/>
        <v>4.5894399584352609E-4</v>
      </c>
      <c r="G162" s="15">
        <v>462142</v>
      </c>
      <c r="H162" s="2">
        <v>7.23</v>
      </c>
      <c r="I162" s="20">
        <v>6296</v>
      </c>
      <c r="J162">
        <f>Post!I162</f>
        <v>5913</v>
      </c>
    </row>
    <row r="163" spans="1:10" ht="14.25" customHeight="1" x14ac:dyDescent="0.3">
      <c r="A163" s="3">
        <v>45726</v>
      </c>
      <c r="B163" s="2" t="s">
        <v>33</v>
      </c>
      <c r="C163" s="15">
        <v>1098</v>
      </c>
      <c r="D163" s="15">
        <v>190</v>
      </c>
      <c r="E163" s="15">
        <f t="shared" si="4"/>
        <v>908</v>
      </c>
      <c r="F163" s="23">
        <f t="shared" si="5"/>
        <v>2.6711067442503544E-3</v>
      </c>
      <c r="G163" s="15">
        <v>340842</v>
      </c>
      <c r="H163" s="2">
        <v>9.39</v>
      </c>
      <c r="I163" s="20">
        <v>21539</v>
      </c>
      <c r="J163">
        <f>Post!I163</f>
        <v>4160</v>
      </c>
    </row>
    <row r="164" spans="1:10" ht="14.25" customHeight="1" x14ac:dyDescent="0.3">
      <c r="A164" s="3">
        <v>45726</v>
      </c>
      <c r="B164" s="2" t="s">
        <v>14</v>
      </c>
      <c r="C164" s="15">
        <v>1399</v>
      </c>
      <c r="D164" s="15">
        <v>49</v>
      </c>
      <c r="E164" s="15">
        <f t="shared" si="4"/>
        <v>1350</v>
      </c>
      <c r="F164" s="23">
        <f t="shared" si="5"/>
        <v>0.12139196115457243</v>
      </c>
      <c r="G164" s="15">
        <v>12471</v>
      </c>
      <c r="H164" s="2">
        <v>5.12</v>
      </c>
      <c r="I164" s="20">
        <v>14722</v>
      </c>
      <c r="J164">
        <f>Post!I164</f>
        <v>5199</v>
      </c>
    </row>
    <row r="165" spans="1:10" ht="14.25" customHeight="1" x14ac:dyDescent="0.3">
      <c r="A165" s="3">
        <v>45726</v>
      </c>
      <c r="B165" s="2" t="s">
        <v>25</v>
      </c>
      <c r="C165" s="15">
        <v>1658</v>
      </c>
      <c r="D165" s="15">
        <v>416</v>
      </c>
      <c r="E165" s="15">
        <f t="shared" si="4"/>
        <v>1242</v>
      </c>
      <c r="F165" s="23">
        <f t="shared" si="5"/>
        <v>1.2783696155627605E-2</v>
      </c>
      <c r="G165" s="15">
        <v>98397</v>
      </c>
      <c r="H165" s="2">
        <v>6.11</v>
      </c>
      <c r="I165" s="20">
        <v>11383</v>
      </c>
      <c r="J165">
        <f>Post!I165</f>
        <v>6061</v>
      </c>
    </row>
    <row r="166" spans="1:10" ht="14.25" customHeight="1" x14ac:dyDescent="0.3">
      <c r="A166" s="3">
        <v>45733</v>
      </c>
      <c r="B166" s="2" t="s">
        <v>27</v>
      </c>
      <c r="C166" s="15">
        <v>1102</v>
      </c>
      <c r="D166" s="15">
        <v>422</v>
      </c>
      <c r="E166" s="15">
        <f t="shared" si="4"/>
        <v>680</v>
      </c>
      <c r="F166" s="23">
        <f t="shared" si="5"/>
        <v>1.6599536189430002E-3</v>
      </c>
      <c r="G166" s="15">
        <v>410330</v>
      </c>
      <c r="H166" s="2">
        <v>7.74</v>
      </c>
      <c r="I166" s="20">
        <v>9480</v>
      </c>
      <c r="J166">
        <f>Post!I166</f>
        <v>3493</v>
      </c>
    </row>
    <row r="167" spans="1:10" ht="14.25" customHeight="1" x14ac:dyDescent="0.3">
      <c r="A167" s="3">
        <v>45733</v>
      </c>
      <c r="B167" s="2" t="s">
        <v>33</v>
      </c>
      <c r="C167" s="15">
        <v>1358</v>
      </c>
      <c r="D167" s="15">
        <v>242</v>
      </c>
      <c r="E167" s="15">
        <f t="shared" si="4"/>
        <v>1116</v>
      </c>
      <c r="F167" s="23">
        <f t="shared" si="5"/>
        <v>3.2726025107547218E-3</v>
      </c>
      <c r="G167" s="15">
        <v>342129</v>
      </c>
      <c r="H167" s="2">
        <v>4.9400000000000004</v>
      </c>
      <c r="I167" s="20">
        <v>29116</v>
      </c>
      <c r="J167">
        <f>Post!I167</f>
        <v>1695</v>
      </c>
    </row>
    <row r="168" spans="1:10" ht="14.25" customHeight="1" x14ac:dyDescent="0.3">
      <c r="A168" s="3">
        <v>45733</v>
      </c>
      <c r="B168" s="2" t="s">
        <v>14</v>
      </c>
      <c r="C168" s="15">
        <v>1077</v>
      </c>
      <c r="D168" s="15">
        <v>216</v>
      </c>
      <c r="E168" s="15">
        <f t="shared" si="4"/>
        <v>861</v>
      </c>
      <c r="F168" s="23">
        <f t="shared" si="5"/>
        <v>7.4313827032625582E-2</v>
      </c>
      <c r="G168" s="15">
        <v>12447</v>
      </c>
      <c r="H168" s="2">
        <v>1.8</v>
      </c>
      <c r="I168" s="20">
        <v>14068</v>
      </c>
      <c r="J168">
        <f>Post!I168</f>
        <v>5645</v>
      </c>
    </row>
    <row r="169" spans="1:10" ht="14.25" customHeight="1" x14ac:dyDescent="0.3">
      <c r="A169" s="3">
        <v>45733</v>
      </c>
      <c r="B169" s="2" t="s">
        <v>25</v>
      </c>
      <c r="C169" s="15">
        <v>1596</v>
      </c>
      <c r="D169" s="15">
        <v>211</v>
      </c>
      <c r="E169" s="15">
        <f t="shared" si="4"/>
        <v>1385</v>
      </c>
      <c r="F169" s="23">
        <f t="shared" si="5"/>
        <v>8.6589559237261637E-2</v>
      </c>
      <c r="G169" s="15">
        <v>17380</v>
      </c>
      <c r="H169" s="2">
        <v>8.64</v>
      </c>
      <c r="I169" s="20">
        <v>35801</v>
      </c>
      <c r="J169">
        <f>Post!I169</f>
        <v>3226</v>
      </c>
    </row>
    <row r="170" spans="1:10" ht="14.25" customHeight="1" x14ac:dyDescent="0.3">
      <c r="A170" s="3">
        <v>45740</v>
      </c>
      <c r="B170" s="2" t="s">
        <v>27</v>
      </c>
      <c r="C170" s="15">
        <v>490</v>
      </c>
      <c r="D170" s="15">
        <v>29</v>
      </c>
      <c r="E170" s="15">
        <f t="shared" si="4"/>
        <v>461</v>
      </c>
      <c r="F170" s="23">
        <f t="shared" si="5"/>
        <v>1.2652703863603304E-3</v>
      </c>
      <c r="G170" s="15">
        <v>364810</v>
      </c>
      <c r="H170" s="2">
        <v>1.53</v>
      </c>
      <c r="I170" s="20">
        <v>49077</v>
      </c>
      <c r="J170">
        <f>Post!I170</f>
        <v>4282</v>
      </c>
    </row>
    <row r="171" spans="1:10" ht="14.25" customHeight="1" x14ac:dyDescent="0.3">
      <c r="A171" s="3">
        <v>45740</v>
      </c>
      <c r="B171" s="2" t="s">
        <v>33</v>
      </c>
      <c r="C171" s="15">
        <v>609</v>
      </c>
      <c r="D171" s="15">
        <v>135</v>
      </c>
      <c r="E171" s="15">
        <f t="shared" si="4"/>
        <v>474</v>
      </c>
      <c r="F171" s="23">
        <f t="shared" si="5"/>
        <v>1.2703279268462635E-3</v>
      </c>
      <c r="G171" s="15">
        <v>373606</v>
      </c>
      <c r="H171" s="2">
        <v>8.52</v>
      </c>
      <c r="I171" s="20">
        <v>21453</v>
      </c>
      <c r="J171">
        <f>Post!I171</f>
        <v>4666</v>
      </c>
    </row>
    <row r="172" spans="1:10" ht="14.25" customHeight="1" x14ac:dyDescent="0.3">
      <c r="A172" s="3">
        <v>45740</v>
      </c>
      <c r="B172" s="2" t="s">
        <v>14</v>
      </c>
      <c r="C172" s="15">
        <v>364</v>
      </c>
      <c r="D172" s="15">
        <v>72</v>
      </c>
      <c r="E172" s="15">
        <f t="shared" si="4"/>
        <v>292</v>
      </c>
      <c r="F172" s="23">
        <f t="shared" si="5"/>
        <v>1.3852123834191975E-3</v>
      </c>
      <c r="G172" s="15">
        <v>211090</v>
      </c>
      <c r="H172" s="2">
        <v>5.53</v>
      </c>
      <c r="I172" s="20">
        <v>21061</v>
      </c>
      <c r="J172">
        <f>Post!I172</f>
        <v>1797</v>
      </c>
    </row>
    <row r="173" spans="1:10" ht="14.25" customHeight="1" x14ac:dyDescent="0.3">
      <c r="A173" s="3">
        <v>45740</v>
      </c>
      <c r="B173" s="2" t="s">
        <v>25</v>
      </c>
      <c r="C173" s="15">
        <v>442</v>
      </c>
      <c r="D173" s="15">
        <v>53</v>
      </c>
      <c r="E173" s="15">
        <f t="shared" si="4"/>
        <v>389</v>
      </c>
      <c r="F173" s="23">
        <f t="shared" si="5"/>
        <v>8.8100339265573832E-4</v>
      </c>
      <c r="G173" s="15">
        <v>441931</v>
      </c>
      <c r="H173" s="2">
        <v>1.87</v>
      </c>
      <c r="I173" s="20">
        <v>20059</v>
      </c>
      <c r="J173">
        <f>Post!I173</f>
        <v>3800</v>
      </c>
    </row>
    <row r="174" spans="1:10" ht="14.25" customHeight="1" x14ac:dyDescent="0.3">
      <c r="A174" s="3">
        <v>45747</v>
      </c>
      <c r="B174" s="2" t="s">
        <v>27</v>
      </c>
      <c r="C174" s="15">
        <v>1033</v>
      </c>
      <c r="D174" s="15">
        <v>392</v>
      </c>
      <c r="E174" s="15">
        <f t="shared" si="4"/>
        <v>641</v>
      </c>
      <c r="F174" s="23">
        <f t="shared" si="5"/>
        <v>2.2719297934705941E-3</v>
      </c>
      <c r="G174" s="15">
        <v>282780</v>
      </c>
      <c r="H174" s="2">
        <v>6.27</v>
      </c>
      <c r="I174" s="20">
        <v>23140</v>
      </c>
      <c r="J174">
        <f>Post!I174</f>
        <v>2290</v>
      </c>
    </row>
    <row r="175" spans="1:10" ht="14.25" customHeight="1" x14ac:dyDescent="0.3">
      <c r="A175" s="3">
        <v>45747</v>
      </c>
      <c r="B175" s="2" t="s">
        <v>33</v>
      </c>
      <c r="C175" s="15">
        <v>988</v>
      </c>
      <c r="D175" s="15">
        <v>474</v>
      </c>
      <c r="E175" s="15">
        <f t="shared" si="4"/>
        <v>514</v>
      </c>
      <c r="F175" s="23">
        <f t="shared" si="5"/>
        <v>1.3908582190520517E-3</v>
      </c>
      <c r="G175" s="15">
        <v>370070</v>
      </c>
      <c r="H175" s="2">
        <v>9.4600000000000009</v>
      </c>
      <c r="I175" s="20">
        <v>23461</v>
      </c>
      <c r="J175">
        <f>Post!I175</f>
        <v>4229</v>
      </c>
    </row>
    <row r="176" spans="1:10" ht="14.25" customHeight="1" x14ac:dyDescent="0.3">
      <c r="A176" s="3">
        <v>45747</v>
      </c>
      <c r="B176" s="2" t="s">
        <v>14</v>
      </c>
      <c r="C176" s="15">
        <v>1946</v>
      </c>
      <c r="D176" s="15">
        <v>270</v>
      </c>
      <c r="E176" s="15">
        <f t="shared" si="4"/>
        <v>1676</v>
      </c>
      <c r="F176" s="23">
        <f t="shared" si="5"/>
        <v>8.5217161393981913E-3</v>
      </c>
      <c r="G176" s="15">
        <v>198350</v>
      </c>
      <c r="H176" s="2">
        <v>7.5</v>
      </c>
      <c r="I176" s="20">
        <v>11805</v>
      </c>
      <c r="J176">
        <f>Post!I176</f>
        <v>1109</v>
      </c>
    </row>
    <row r="177" spans="1:10" ht="14.25" customHeight="1" x14ac:dyDescent="0.3">
      <c r="A177" s="3">
        <v>45747</v>
      </c>
      <c r="B177" s="2" t="s">
        <v>25</v>
      </c>
      <c r="C177" s="15">
        <v>1957</v>
      </c>
      <c r="D177" s="15">
        <v>490</v>
      </c>
      <c r="E177" s="15">
        <f t="shared" si="4"/>
        <v>1467</v>
      </c>
      <c r="F177" s="23">
        <f t="shared" si="5"/>
        <v>3.3781683281175518E-3</v>
      </c>
      <c r="G177" s="15">
        <v>435726</v>
      </c>
      <c r="H177" s="2">
        <v>4.7300000000000004</v>
      </c>
      <c r="I177" s="20">
        <v>15969</v>
      </c>
      <c r="J177">
        <f>Post!I177</f>
        <v>4108</v>
      </c>
    </row>
    <row r="178" spans="1:10" ht="14.25" customHeight="1" x14ac:dyDescent="0.3">
      <c r="A178" s="3">
        <v>45754</v>
      </c>
      <c r="B178" s="2" t="s">
        <v>27</v>
      </c>
      <c r="C178" s="15">
        <v>559</v>
      </c>
      <c r="D178" s="15">
        <v>392</v>
      </c>
      <c r="E178" s="15">
        <f t="shared" si="4"/>
        <v>167</v>
      </c>
      <c r="F178" s="23">
        <f t="shared" si="5"/>
        <v>2.1240874055607844E-3</v>
      </c>
      <c r="G178" s="15">
        <v>78789</v>
      </c>
      <c r="H178" s="2">
        <v>3.19</v>
      </c>
      <c r="I178" s="20">
        <v>2436</v>
      </c>
      <c r="J178">
        <f>Post!I178</f>
        <v>3964</v>
      </c>
    </row>
    <row r="179" spans="1:10" ht="14.25" customHeight="1" x14ac:dyDescent="0.3">
      <c r="A179" s="3">
        <v>45754</v>
      </c>
      <c r="B179" s="2" t="s">
        <v>33</v>
      </c>
      <c r="C179" s="15">
        <v>1307</v>
      </c>
      <c r="D179" s="15">
        <v>278</v>
      </c>
      <c r="E179" s="15">
        <f t="shared" si="4"/>
        <v>1029</v>
      </c>
      <c r="F179" s="23">
        <f t="shared" si="5"/>
        <v>1.0546598747527339E-2</v>
      </c>
      <c r="G179" s="15">
        <v>98596</v>
      </c>
      <c r="H179" s="2">
        <v>2.4900000000000002</v>
      </c>
      <c r="I179" s="20">
        <v>47603</v>
      </c>
      <c r="J179">
        <f>Post!I179</f>
        <v>908</v>
      </c>
    </row>
    <row r="180" spans="1:10" ht="14.25" customHeight="1" x14ac:dyDescent="0.3">
      <c r="A180" s="3">
        <v>45754</v>
      </c>
      <c r="B180" s="2" t="s">
        <v>14</v>
      </c>
      <c r="C180" s="15">
        <v>1432</v>
      </c>
      <c r="D180" s="15">
        <v>425</v>
      </c>
      <c r="E180" s="15">
        <f t="shared" si="4"/>
        <v>1007</v>
      </c>
      <c r="F180" s="23">
        <f t="shared" si="5"/>
        <v>3.5231964173255893E-2</v>
      </c>
      <c r="G180" s="15">
        <v>29589</v>
      </c>
      <c r="H180" s="2">
        <v>4.5</v>
      </c>
      <c r="I180" s="20">
        <v>42964</v>
      </c>
      <c r="J180">
        <f>Post!I180</f>
        <v>4858</v>
      </c>
    </row>
    <row r="181" spans="1:10" ht="14.25" customHeight="1" x14ac:dyDescent="0.3">
      <c r="A181" s="3">
        <v>45754</v>
      </c>
      <c r="B181" s="2" t="s">
        <v>25</v>
      </c>
      <c r="C181" s="15">
        <v>623</v>
      </c>
      <c r="D181" s="15">
        <v>414</v>
      </c>
      <c r="E181" s="15">
        <f t="shared" si="4"/>
        <v>209</v>
      </c>
      <c r="F181" s="23">
        <f t="shared" si="5"/>
        <v>7.2032949042720017E-4</v>
      </c>
      <c r="G181" s="15">
        <v>290354</v>
      </c>
      <c r="H181" s="2">
        <v>6.49</v>
      </c>
      <c r="I181" s="20">
        <v>39923</v>
      </c>
      <c r="J181">
        <f>Post!I181</f>
        <v>4353</v>
      </c>
    </row>
    <row r="182" spans="1:10" ht="14.25" customHeight="1" x14ac:dyDescent="0.3">
      <c r="A182" s="3">
        <v>45761</v>
      </c>
      <c r="B182" s="2" t="s">
        <v>27</v>
      </c>
      <c r="C182" s="15">
        <v>198</v>
      </c>
      <c r="D182" s="15">
        <v>358</v>
      </c>
      <c r="E182" s="15">
        <f t="shared" si="4"/>
        <v>-160</v>
      </c>
      <c r="F182" s="23">
        <f t="shared" si="5"/>
        <v>-2.3937045570150504E-3</v>
      </c>
      <c r="G182" s="15">
        <v>66682</v>
      </c>
      <c r="H182" s="2">
        <v>6.73</v>
      </c>
      <c r="I182" s="20">
        <v>2293</v>
      </c>
      <c r="J182">
        <f>Post!I182</f>
        <v>1865</v>
      </c>
    </row>
    <row r="183" spans="1:10" ht="14.25" customHeight="1" x14ac:dyDescent="0.3">
      <c r="A183" s="3">
        <v>45761</v>
      </c>
      <c r="B183" s="2" t="s">
        <v>33</v>
      </c>
      <c r="C183" s="15">
        <v>198</v>
      </c>
      <c r="D183" s="15">
        <v>373</v>
      </c>
      <c r="E183" s="15">
        <f t="shared" si="4"/>
        <v>-175</v>
      </c>
      <c r="F183" s="23">
        <f t="shared" si="5"/>
        <v>-2.4688919612877742E-3</v>
      </c>
      <c r="G183" s="15">
        <v>70707</v>
      </c>
      <c r="H183" s="2">
        <v>4.83</v>
      </c>
      <c r="I183" s="20">
        <v>25920</v>
      </c>
      <c r="J183">
        <f>Post!I183</f>
        <v>5226</v>
      </c>
    </row>
    <row r="184" spans="1:10" ht="14.25" customHeight="1" x14ac:dyDescent="0.3">
      <c r="A184" s="3">
        <v>45761</v>
      </c>
      <c r="B184" s="2" t="s">
        <v>14</v>
      </c>
      <c r="C184" s="15">
        <v>353</v>
      </c>
      <c r="D184" s="15">
        <v>300</v>
      </c>
      <c r="E184" s="15">
        <f t="shared" si="4"/>
        <v>53</v>
      </c>
      <c r="F184" s="23">
        <f t="shared" si="5"/>
        <v>3.7204992488803405E-4</v>
      </c>
      <c r="G184" s="15">
        <v>142507</v>
      </c>
      <c r="H184" s="2">
        <v>5.3</v>
      </c>
      <c r="I184" s="20">
        <v>11035</v>
      </c>
      <c r="J184">
        <f>Post!I184</f>
        <v>1343</v>
      </c>
    </row>
    <row r="185" spans="1:10" ht="14.25" customHeight="1" x14ac:dyDescent="0.3">
      <c r="A185" s="3">
        <v>45761</v>
      </c>
      <c r="B185" s="2" t="s">
        <v>25</v>
      </c>
      <c r="C185" s="15">
        <v>520</v>
      </c>
      <c r="D185" s="15">
        <v>375</v>
      </c>
      <c r="E185" s="15">
        <f t="shared" si="4"/>
        <v>145</v>
      </c>
      <c r="F185" s="23">
        <f t="shared" si="5"/>
        <v>3.9254967783854025E-4</v>
      </c>
      <c r="G185" s="15">
        <v>369525</v>
      </c>
      <c r="H185" s="2">
        <v>6.54</v>
      </c>
      <c r="I185" s="20">
        <v>20733</v>
      </c>
      <c r="J185">
        <f>Post!I185</f>
        <v>4377</v>
      </c>
    </row>
    <row r="186" spans="1:10" ht="14.25" customHeight="1" x14ac:dyDescent="0.3">
      <c r="A186" s="3">
        <v>45768</v>
      </c>
      <c r="B186" s="2" t="s">
        <v>27</v>
      </c>
      <c r="C186" s="15">
        <v>961</v>
      </c>
      <c r="D186" s="15">
        <v>358</v>
      </c>
      <c r="E186" s="15">
        <f t="shared" si="4"/>
        <v>603</v>
      </c>
      <c r="F186" s="23">
        <f t="shared" si="5"/>
        <v>9.6729174353133666E-3</v>
      </c>
      <c r="G186" s="15">
        <v>62942</v>
      </c>
      <c r="H186" s="2">
        <v>6.8</v>
      </c>
      <c r="I186" s="20">
        <v>18693</v>
      </c>
      <c r="J186">
        <f>Post!I186</f>
        <v>4741</v>
      </c>
    </row>
    <row r="187" spans="1:10" ht="14.25" customHeight="1" x14ac:dyDescent="0.3">
      <c r="A187" s="3">
        <v>45768</v>
      </c>
      <c r="B187" s="2" t="s">
        <v>33</v>
      </c>
      <c r="C187" s="15">
        <v>1375</v>
      </c>
      <c r="D187" s="15">
        <v>330</v>
      </c>
      <c r="E187" s="15">
        <f t="shared" si="4"/>
        <v>1045</v>
      </c>
      <c r="F187" s="23">
        <f t="shared" si="5"/>
        <v>2.7767665682619565E-3</v>
      </c>
      <c r="G187" s="15">
        <v>377382</v>
      </c>
      <c r="H187" s="2">
        <v>2.6</v>
      </c>
      <c r="I187" s="20">
        <v>7875</v>
      </c>
      <c r="J187">
        <f>Post!I187</f>
        <v>4735</v>
      </c>
    </row>
    <row r="188" spans="1:10" ht="14.25" customHeight="1" x14ac:dyDescent="0.3">
      <c r="A188" s="3">
        <v>45768</v>
      </c>
      <c r="B188" s="2" t="s">
        <v>14</v>
      </c>
      <c r="C188" s="15">
        <v>1147</v>
      </c>
      <c r="D188" s="15">
        <v>388</v>
      </c>
      <c r="E188" s="15">
        <f>C188-D188</f>
        <v>759</v>
      </c>
      <c r="F188" s="23">
        <f t="shared" si="5"/>
        <v>2.2786497424135072E-3</v>
      </c>
      <c r="G188" s="15">
        <v>333851</v>
      </c>
      <c r="H188" s="2">
        <v>2.44</v>
      </c>
      <c r="I188" s="20">
        <v>8471</v>
      </c>
      <c r="J188">
        <f>Post!I188</f>
        <v>2340</v>
      </c>
    </row>
    <row r="189" spans="1:10" ht="14.25" customHeight="1" x14ac:dyDescent="0.3">
      <c r="A189" s="3">
        <v>45768</v>
      </c>
      <c r="B189" s="2" t="s">
        <v>25</v>
      </c>
      <c r="C189" s="15">
        <v>1707</v>
      </c>
      <c r="D189" s="15">
        <v>74</v>
      </c>
      <c r="E189" s="15">
        <f t="shared" si="4"/>
        <v>1633</v>
      </c>
      <c r="F189" s="23">
        <f t="shared" si="5"/>
        <v>6.0633064141836068E-3</v>
      </c>
      <c r="G189" s="15">
        <v>270958</v>
      </c>
      <c r="H189" s="2">
        <v>3.09</v>
      </c>
      <c r="I189" s="20">
        <v>14090</v>
      </c>
      <c r="J189">
        <f>Post!I189</f>
        <v>3476</v>
      </c>
    </row>
    <row r="190" spans="1:10" ht="14.25" customHeight="1" x14ac:dyDescent="0.3">
      <c r="A190" s="3">
        <v>45775</v>
      </c>
      <c r="B190" s="2" t="s">
        <v>27</v>
      </c>
      <c r="C190" s="15">
        <v>1693</v>
      </c>
      <c r="D190" s="15">
        <v>154</v>
      </c>
      <c r="E190" s="15">
        <f t="shared" si="4"/>
        <v>1539</v>
      </c>
      <c r="F190" s="23">
        <f t="shared" si="5"/>
        <v>3.4630573463394878E-3</v>
      </c>
      <c r="G190" s="15">
        <v>445944</v>
      </c>
      <c r="H190" s="2">
        <v>5.69</v>
      </c>
      <c r="I190" s="20">
        <v>14216</v>
      </c>
      <c r="J190">
        <f>Post!I190</f>
        <v>4385</v>
      </c>
    </row>
    <row r="191" spans="1:10" ht="14.25" customHeight="1" x14ac:dyDescent="0.3">
      <c r="A191" s="3">
        <v>45775</v>
      </c>
      <c r="B191" s="2" t="s">
        <v>33</v>
      </c>
      <c r="C191" s="15">
        <v>833</v>
      </c>
      <c r="D191" s="15">
        <v>380</v>
      </c>
      <c r="E191" s="15">
        <f t="shared" si="4"/>
        <v>453</v>
      </c>
      <c r="F191" s="23">
        <f t="shared" si="5"/>
        <v>2.0189235082027123E-3</v>
      </c>
      <c r="G191" s="15">
        <v>224830</v>
      </c>
      <c r="H191" s="2">
        <v>3.86</v>
      </c>
      <c r="I191" s="20">
        <v>3582</v>
      </c>
      <c r="J191">
        <f>Post!I191</f>
        <v>2195</v>
      </c>
    </row>
    <row r="192" spans="1:10" ht="14.25" customHeight="1" x14ac:dyDescent="0.3">
      <c r="A192" s="3">
        <v>45775</v>
      </c>
      <c r="B192" s="2" t="s">
        <v>14</v>
      </c>
      <c r="C192" s="15">
        <v>1222</v>
      </c>
      <c r="D192" s="15">
        <v>274</v>
      </c>
      <c r="E192" s="15">
        <f t="shared" si="4"/>
        <v>948</v>
      </c>
      <c r="F192" s="23">
        <f t="shared" si="5"/>
        <v>1.9492496005888871E-3</v>
      </c>
      <c r="G192" s="15">
        <v>487289</v>
      </c>
      <c r="H192" s="2">
        <v>3.16</v>
      </c>
      <c r="I192" s="20">
        <v>32500</v>
      </c>
      <c r="J192">
        <f>Post!I192</f>
        <v>5547</v>
      </c>
    </row>
    <row r="193" spans="1:10" ht="14.25" customHeight="1" x14ac:dyDescent="0.3">
      <c r="A193" s="3">
        <v>45775</v>
      </c>
      <c r="B193" s="2" t="s">
        <v>25</v>
      </c>
      <c r="C193" s="15">
        <v>777</v>
      </c>
      <c r="D193" s="15">
        <v>140</v>
      </c>
      <c r="E193" s="15">
        <f t="shared" si="4"/>
        <v>637</v>
      </c>
      <c r="F193" s="23">
        <f t="shared" si="5"/>
        <v>5.8992406001111317E-2</v>
      </c>
      <c r="G193" s="15">
        <v>11435</v>
      </c>
      <c r="H193" s="2">
        <v>1.6</v>
      </c>
      <c r="I193" s="20">
        <v>6832</v>
      </c>
      <c r="J193">
        <f>Post!I193</f>
        <v>2034</v>
      </c>
    </row>
    <row r="194" spans="1:10" ht="14.25" customHeight="1" x14ac:dyDescent="0.3">
      <c r="A194" s="3">
        <v>45782</v>
      </c>
      <c r="B194" s="2" t="s">
        <v>27</v>
      </c>
      <c r="C194" s="15">
        <v>1957</v>
      </c>
      <c r="D194" s="15">
        <v>76</v>
      </c>
      <c r="E194" s="15">
        <f t="shared" si="4"/>
        <v>1881</v>
      </c>
      <c r="F194" s="23">
        <f t="shared" si="5"/>
        <v>4.2172902172767646E-3</v>
      </c>
      <c r="G194" s="15">
        <v>447902</v>
      </c>
      <c r="H194" s="2">
        <v>6.09</v>
      </c>
      <c r="I194" s="20">
        <v>33381</v>
      </c>
      <c r="J194">
        <f>Post!I194</f>
        <v>5304</v>
      </c>
    </row>
    <row r="195" spans="1:10" ht="14.25" customHeight="1" x14ac:dyDescent="0.3">
      <c r="A195" s="3">
        <v>45782</v>
      </c>
      <c r="B195" s="2" t="s">
        <v>33</v>
      </c>
      <c r="C195" s="15">
        <v>405</v>
      </c>
      <c r="D195" s="15">
        <v>66</v>
      </c>
      <c r="E195" s="15">
        <f t="shared" ref="E195:E201" si="6">C195-D195</f>
        <v>339</v>
      </c>
      <c r="F195" s="23">
        <f t="shared" ref="F195:F201" si="7">(C195-D195)/(G195-(C195-D195))</f>
        <v>8.1031272334393834E-4</v>
      </c>
      <c r="G195" s="15">
        <v>418696</v>
      </c>
      <c r="H195" s="2">
        <v>5.59</v>
      </c>
      <c r="I195" s="20">
        <v>48419</v>
      </c>
      <c r="J195">
        <f>Post!I195</f>
        <v>5128</v>
      </c>
    </row>
    <row r="196" spans="1:10" ht="14.25" customHeight="1" x14ac:dyDescent="0.3">
      <c r="A196" s="3">
        <v>45782</v>
      </c>
      <c r="B196" s="2" t="s">
        <v>14</v>
      </c>
      <c r="C196" s="15">
        <v>1581</v>
      </c>
      <c r="D196" s="15">
        <v>71</v>
      </c>
      <c r="E196" s="15">
        <f t="shared" si="6"/>
        <v>1510</v>
      </c>
      <c r="F196" s="23">
        <f t="shared" si="7"/>
        <v>3.1272392897231877E-3</v>
      </c>
      <c r="G196" s="15">
        <v>484364</v>
      </c>
      <c r="H196" s="2">
        <v>3.55</v>
      </c>
      <c r="I196" s="20">
        <v>16149</v>
      </c>
      <c r="J196">
        <f>Post!I196</f>
        <v>1624</v>
      </c>
    </row>
    <row r="197" spans="1:10" ht="14.25" customHeight="1" x14ac:dyDescent="0.3">
      <c r="A197" s="3">
        <v>45782</v>
      </c>
      <c r="B197" s="2" t="s">
        <v>25</v>
      </c>
      <c r="C197" s="15">
        <v>1035</v>
      </c>
      <c r="D197" s="15">
        <v>171</v>
      </c>
      <c r="E197" s="15">
        <f t="shared" si="6"/>
        <v>864</v>
      </c>
      <c r="F197" s="23">
        <f t="shared" si="7"/>
        <v>5.8531430158590371E-3</v>
      </c>
      <c r="G197" s="15">
        <v>148477</v>
      </c>
      <c r="H197" s="2">
        <v>5.21</v>
      </c>
      <c r="I197" s="20">
        <v>7541</v>
      </c>
      <c r="J197">
        <f>Post!I197</f>
        <v>2508</v>
      </c>
    </row>
    <row r="198" spans="1:10" ht="14.25" customHeight="1" x14ac:dyDescent="0.3">
      <c r="A198" s="3">
        <v>45789</v>
      </c>
      <c r="B198" s="2" t="s">
        <v>27</v>
      </c>
      <c r="C198" s="15">
        <v>1765</v>
      </c>
      <c r="D198" s="15">
        <v>109</v>
      </c>
      <c r="E198" s="15">
        <f t="shared" si="6"/>
        <v>1656</v>
      </c>
      <c r="F198" s="23">
        <f t="shared" si="7"/>
        <v>3.5487361913231685E-3</v>
      </c>
      <c r="G198" s="15">
        <v>468301</v>
      </c>
      <c r="H198" s="2">
        <v>1.82</v>
      </c>
      <c r="I198" s="20">
        <v>20042</v>
      </c>
      <c r="J198">
        <f>Post!I198</f>
        <v>5585</v>
      </c>
    </row>
    <row r="199" spans="1:10" ht="14.25" customHeight="1" x14ac:dyDescent="0.3">
      <c r="A199" s="3">
        <v>45789</v>
      </c>
      <c r="B199" s="2" t="s">
        <v>33</v>
      </c>
      <c r="C199" s="15">
        <v>837</v>
      </c>
      <c r="D199" s="15">
        <v>430</v>
      </c>
      <c r="E199" s="15">
        <f t="shared" si="6"/>
        <v>407</v>
      </c>
      <c r="F199" s="23">
        <f t="shared" si="7"/>
        <v>1.1168646563102854E-3</v>
      </c>
      <c r="G199" s="15">
        <v>364820</v>
      </c>
      <c r="H199" s="2">
        <v>4</v>
      </c>
      <c r="I199" s="20">
        <v>49400</v>
      </c>
      <c r="J199">
        <f>Post!I199</f>
        <v>1872</v>
      </c>
    </row>
    <row r="200" spans="1:10" ht="14.25" customHeight="1" x14ac:dyDescent="0.3">
      <c r="A200" s="3">
        <v>45789</v>
      </c>
      <c r="B200" s="2" t="s">
        <v>14</v>
      </c>
      <c r="C200" s="15">
        <v>337</v>
      </c>
      <c r="D200" s="15">
        <v>68</v>
      </c>
      <c r="E200" s="15">
        <f t="shared" si="6"/>
        <v>269</v>
      </c>
      <c r="F200" s="23">
        <f t="shared" si="7"/>
        <v>5.8987476673632601E-4</v>
      </c>
      <c r="G200" s="15">
        <v>456298</v>
      </c>
      <c r="H200" s="2">
        <v>7.57</v>
      </c>
      <c r="I200" s="20">
        <v>4007</v>
      </c>
      <c r="J200">
        <f>Post!I200</f>
        <v>3004</v>
      </c>
    </row>
    <row r="201" spans="1:10" ht="14.25" customHeight="1" x14ac:dyDescent="0.3">
      <c r="A201" s="3">
        <v>45789</v>
      </c>
      <c r="B201" s="2" t="s">
        <v>25</v>
      </c>
      <c r="C201" s="15">
        <v>119</v>
      </c>
      <c r="D201" s="15">
        <v>456</v>
      </c>
      <c r="E201" s="15">
        <f t="shared" si="6"/>
        <v>-337</v>
      </c>
      <c r="F201" s="23">
        <f t="shared" si="7"/>
        <v>-4.0653839194161288E-3</v>
      </c>
      <c r="G201" s="15">
        <v>82558</v>
      </c>
      <c r="H201" s="2">
        <v>6.81</v>
      </c>
      <c r="I201" s="20">
        <v>12174</v>
      </c>
      <c r="J201">
        <f>Post!I201</f>
        <v>4413</v>
      </c>
    </row>
    <row r="202" spans="1:10" ht="14.25" customHeight="1" x14ac:dyDescent="0.3"/>
    <row r="203" spans="1:10" ht="14.25" customHeight="1" x14ac:dyDescent="0.3"/>
    <row r="204" spans="1:10" ht="14.25" customHeight="1" x14ac:dyDescent="0.3"/>
    <row r="205" spans="1:10" ht="14.25" customHeight="1" x14ac:dyDescent="0.3"/>
    <row r="206" spans="1:10" ht="14.25" customHeight="1" x14ac:dyDescent="0.3"/>
    <row r="207" spans="1:10" ht="14.25" customHeight="1" x14ac:dyDescent="0.3"/>
    <row r="208" spans="1:10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autoFilter ref="A1:J201" xr:uid="{00000000-0001-0000-0100-000000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Campaign Data</vt:lpstr>
      <vt:lpstr>Post</vt:lpstr>
      <vt:lpstr>Engagment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Aniket Maharnavar</cp:lastModifiedBy>
  <dcterms:created xsi:type="dcterms:W3CDTF">2025-11-20T05:25:56Z</dcterms:created>
  <dcterms:modified xsi:type="dcterms:W3CDTF">2026-03-05T10:00:39Z</dcterms:modified>
</cp:coreProperties>
</file>