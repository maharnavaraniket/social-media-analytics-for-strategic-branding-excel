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D60A1B-4D46-44D3-88E4-9021E8E4E2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📊 Dashboard" sheetId="1" r:id="rId1"/>
    <sheet name="Data" sheetId="2" r:id="rId2"/>
    <sheet name="📋 Raw Data" sheetId="3" r:id="rId3"/>
    <sheet name="📈 Pivot Summary" sheetId="4" r:id="rId4"/>
  </sheets>
  <definedNames>
    <definedName name="_xlnm._FilterDatabase" localSheetId="2" hidden="1">'📋 Raw Data'!$A$1:$K$301</definedName>
  </definedNames>
  <calcPr calcId="191029"/>
</workbook>
</file>

<file path=xl/calcChain.xml><?xml version="1.0" encoding="utf-8"?>
<calcChain xmlns="http://schemas.openxmlformats.org/spreadsheetml/2006/main">
  <c r="H10" i="1" l="1"/>
  <c r="F10" i="1"/>
  <c r="D10" i="1"/>
  <c r="B10" i="1"/>
</calcChain>
</file>

<file path=xl/sharedStrings.xml><?xml version="1.0" encoding="utf-8"?>
<sst xmlns="http://schemas.openxmlformats.org/spreadsheetml/2006/main" count="2098" uniqueCount="708">
  <si>
    <t>📱  SOCIAL MEDIA ANALYTICS — Strategic Branding Dashboard</t>
  </si>
  <si>
    <t>Myntra Fashion  •  Jun 2024 – May 2025  •  300 Posts  •  4 Campaigns  •  4 Platforms</t>
  </si>
  <si>
    <t>Generated: May 26, 2026</t>
  </si>
  <si>
    <t>⚡ Use AutoFilter in Raw Data sheet for interactive filtering</t>
  </si>
  <si>
    <t>👍</t>
  </si>
  <si>
    <t>💬</t>
  </si>
  <si>
    <t>🔁</t>
  </si>
  <si>
    <t>📊</t>
  </si>
  <si>
    <t>⚡</t>
  </si>
  <si>
    <t>📅</t>
  </si>
  <si>
    <t>🏆</t>
  </si>
  <si>
    <t>14.8%</t>
  </si>
  <si>
    <t>TOTAL LIKES</t>
  </si>
  <si>
    <t>COMMENTS</t>
  </si>
  <si>
    <t>TOTAL SHARES</t>
  </si>
  <si>
    <t>ENGAGEMENT</t>
  </si>
  <si>
    <t>AVG ENG RATE</t>
  </si>
  <si>
    <t>POSTS</t>
  </si>
  <si>
    <t>CAMPAIGNS</t>
  </si>
  <si>
    <t>📈  Engagement Trend Over Time</t>
  </si>
  <si>
    <t>🏷️  Top Performing Hashtags</t>
  </si>
  <si>
    <t>🎯  Campaign Performance Analysis</t>
  </si>
  <si>
    <t>📌  Content Type Performance</t>
  </si>
  <si>
    <t>🌐  Platform Engagement Comparison</t>
  </si>
  <si>
    <t>💡  Key Business Insights</t>
  </si>
  <si>
    <t>🥇</t>
  </si>
  <si>
    <t>Top Campaign</t>
  </si>
  <si>
    <t>EndOfSeasonSale: 295,774 total engagements — leads all campaigns</t>
  </si>
  <si>
    <t>🏷️</t>
  </si>
  <si>
    <t>Best Hashtag</t>
  </si>
  <si>
    <t>#StyleWithMyntra: 239,605 engagements — highest reach across all posts</t>
  </si>
  <si>
    <t>📌</t>
  </si>
  <si>
    <t>Top Content</t>
  </si>
  <si>
    <t>Image posts drive the most total engagement (219,430 cumulative)</t>
  </si>
  <si>
    <t>📈</t>
  </si>
  <si>
    <t>Peak Month</t>
  </si>
  <si>
    <t>October 2024: 137,691 engagements — strongest seasonal performance</t>
  </si>
  <si>
    <t>Best Eng Rate</t>
  </si>
  <si>
    <t>Story content: 18.4% avg engagement rate — strongest audience connection</t>
  </si>
  <si>
    <t>🌐</t>
  </si>
  <si>
    <t>Top Platform</t>
  </si>
  <si>
    <t>Facebook: 305,242 total engagements — dominant social channel</t>
  </si>
  <si>
    <t>Overall Rate</t>
  </si>
  <si>
    <t>14.8% avg engagement rate across all 300 analyzed posts</t>
  </si>
  <si>
    <t>🎯</t>
  </si>
  <si>
    <t>Strategy Tip</t>
  </si>
  <si>
    <t>Story format + #StyleWithMyntra combination maximizes interaction</t>
  </si>
  <si>
    <t>Social Media Analytics Dashboard  |  Myntra Fashion  |  Jun 2024 – May 2025  |  Built with Python &amp; OpenPyXL</t>
  </si>
  <si>
    <t>Metric</t>
  </si>
  <si>
    <t>Value</t>
  </si>
  <si>
    <t>Month</t>
  </si>
  <si>
    <t>Total Engagement</t>
  </si>
  <si>
    <t>Total Likes</t>
  </si>
  <si>
    <t>Avg Eng Rate</t>
  </si>
  <si>
    <t>Comments</t>
  </si>
  <si>
    <t>Shares</t>
  </si>
  <si>
    <t>Hashtag</t>
  </si>
  <si>
    <t>Campaign</t>
  </si>
  <si>
    <t>Content Type</t>
  </si>
  <si>
    <t>Platform</t>
  </si>
  <si>
    <t>Jun 2024</t>
  </si>
  <si>
    <t>#StyleWithMyntra</t>
  </si>
  <si>
    <t>EndOfSeasonSale</t>
  </si>
  <si>
    <t>Image</t>
  </si>
  <si>
    <t>Facebook</t>
  </si>
  <si>
    <t>Total Comments</t>
  </si>
  <si>
    <t>Jul 2024</t>
  </si>
  <si>
    <t>#MyntraSale</t>
  </si>
  <si>
    <t>FashionUpgrade</t>
  </si>
  <si>
    <t>Carousel</t>
  </si>
  <si>
    <t>Instagram</t>
  </si>
  <si>
    <t>Total Shares</t>
  </si>
  <si>
    <t>Aug 2024</t>
  </si>
  <si>
    <t>#MyntraTrend</t>
  </si>
  <si>
    <t>MyntraFestiveEdit</t>
  </si>
  <si>
    <t>Reel</t>
  </si>
  <si>
    <t>Twitter</t>
  </si>
  <si>
    <t>Sep 2024</t>
  </si>
  <si>
    <t>#MyntraFashion</t>
  </si>
  <si>
    <t>StyleRevolution</t>
  </si>
  <si>
    <t>Story</t>
  </si>
  <si>
    <t>YouTube</t>
  </si>
  <si>
    <t>Avg Engagement Rate</t>
  </si>
  <si>
    <t>Oct 2024</t>
  </si>
  <si>
    <t>#FashionDeals</t>
  </si>
  <si>
    <t>Video</t>
  </si>
  <si>
    <t>Posts Analyzed</t>
  </si>
  <si>
    <t>Nov 2024</t>
  </si>
  <si>
    <t>Text</t>
  </si>
  <si>
    <t>Campaigns Active</t>
  </si>
  <si>
    <t>Dec 2024</t>
  </si>
  <si>
    <t>Platforms</t>
  </si>
  <si>
    <t>Jan 2025</t>
  </si>
  <si>
    <t>Feb 2025</t>
  </si>
  <si>
    <t>Mar 2025</t>
  </si>
  <si>
    <t>Apr 2025</t>
  </si>
  <si>
    <t>May 2025</t>
  </si>
  <si>
    <t>Post ID</t>
  </si>
  <si>
    <t>Date</t>
  </si>
  <si>
    <t>Likes</t>
  </si>
  <si>
    <t>Engagement</t>
  </si>
  <si>
    <t>Engagement Rate</t>
  </si>
  <si>
    <t>P001</t>
  </si>
  <si>
    <t>2024-12-23</t>
  </si>
  <si>
    <t>P002</t>
  </si>
  <si>
    <t>2025-04-03</t>
  </si>
  <si>
    <t>P003</t>
  </si>
  <si>
    <t>2025-05-12</t>
  </si>
  <si>
    <t>P004</t>
  </si>
  <si>
    <t>2024-08-12</t>
  </si>
  <si>
    <t>P005</t>
  </si>
  <si>
    <t>2024-06-26</t>
  </si>
  <si>
    <t>P006</t>
  </si>
  <si>
    <t>2024-10-31</t>
  </si>
  <si>
    <t>P007</t>
  </si>
  <si>
    <t>2024-06-24</t>
  </si>
  <si>
    <t>P008</t>
  </si>
  <si>
    <t>2024-07-13</t>
  </si>
  <si>
    <t>P009</t>
  </si>
  <si>
    <t>2024-08-30</t>
  </si>
  <si>
    <t>P010</t>
  </si>
  <si>
    <t>2025-03-11</t>
  </si>
  <si>
    <t>P011</t>
  </si>
  <si>
    <t>2025-02-02</t>
  </si>
  <si>
    <t>P012</t>
  </si>
  <si>
    <t>2024-07-21</t>
  </si>
  <si>
    <t>P013</t>
  </si>
  <si>
    <t>2024-11-18</t>
  </si>
  <si>
    <t>P014</t>
  </si>
  <si>
    <t>2025-02-16</t>
  </si>
  <si>
    <t>P015</t>
  </si>
  <si>
    <t>2024-10-24</t>
  </si>
  <si>
    <t>P016</t>
  </si>
  <si>
    <t>2024-08-26</t>
  </si>
  <si>
    <t>P017</t>
  </si>
  <si>
    <t>2025-05-05</t>
  </si>
  <si>
    <t>P018</t>
  </si>
  <si>
    <t>2024-08-19</t>
  </si>
  <si>
    <t>P019</t>
  </si>
  <si>
    <t>2024-06-23</t>
  </si>
  <si>
    <t>P020</t>
  </si>
  <si>
    <t>2024-09-09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</si>
  <si>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</si>
  <si>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</si>
  <si>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</si>
  <si>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</si>
  <si>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</si>
  <si>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</si>
  <si>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</si>
  <si>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</si>
  <si>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</si>
  <si>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</si>
  <si>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</si>
  <si>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</si>
  <si>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</si>
  <si>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</si>
  <si>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</si>
  <si>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</si>
  <si>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</si>
  <si>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</si>
  <si>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</si>
  <si>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</si>
  <si>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</si>
  <si>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</si>
  <si>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</si>
  <si>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</si>
  <si>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</si>
  <si>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</si>
  <si>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</si>
  <si>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</si>
  <si>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</si>
  <si>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</si>
  <si>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</si>
  <si>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</si>
  <si>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</si>
  <si>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</si>
  <si>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</si>
  <si>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</si>
  <si>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</si>
  <si>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</si>
  <si>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</si>
  <si>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</si>
  <si>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</si>
  <si>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</si>
  <si>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</si>
  <si>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</si>
  <si>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</si>
  <si>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</si>
  <si>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</si>
  <si>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</si>
  <si>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</si>
  <si>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</si>
  <si>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</si>
  <si>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</si>
  <si>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</si>
  <si>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</si>
  <si>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P048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</si>
  <si>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</si>
  <si>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</si>
  <si>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</si>
  <si>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</si>
  <si>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</si>
  <si>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</si>
  <si>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</si>
  <si>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</si>
  <si>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</si>
  <si>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</si>
  <si>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</si>
  <si>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</si>
  <si>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</si>
  <si>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</si>
  <si>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</si>
  <si>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</si>
  <si>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</si>
  <si>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</si>
  <si>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</si>
  <si>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</si>
  <si>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</si>
  <si>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</si>
  <si>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</si>
  <si>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</si>
  <si>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</si>
  <si>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</si>
  <si>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</si>
  <si>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</si>
  <si>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</si>
  <si>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</si>
  <si>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</si>
  <si>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</si>
  <si>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</si>
  <si>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</si>
  <si>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</si>
  <si>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</si>
  <si>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</si>
  <si>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</si>
  <si>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</si>
  <si>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</si>
  <si>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</si>
  <si>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</si>
  <si>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</si>
  <si>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</si>
  <si>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</si>
  <si>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</si>
  <si>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</si>
  <si>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</si>
  <si>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</si>
  <si>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</si>
  <si>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</si>
  <si>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</si>
  <si>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</si>
  <si>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</si>
  <si>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</si>
  <si>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</si>
  <si>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</si>
  <si>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</si>
  <si>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</si>
  <si>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</si>
  <si>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</si>
  <si>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</si>
  <si>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</si>
  <si>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</si>
  <si>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</si>
  <si>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</si>
  <si>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</si>
  <si>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</si>
  <si>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</si>
  <si>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</si>
  <si>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</si>
  <si>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</si>
  <si>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</si>
  <si>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</si>
  <si>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</si>
  <si>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</si>
  <si>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</si>
  <si>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</si>
  <si>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</si>
  <si>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</si>
  <si>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</si>
  <si>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</si>
  <si>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</si>
  <si>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</si>
  <si>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</si>
  <si>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</si>
  <si>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</si>
  <si>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</si>
  <si>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</si>
  <si>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</si>
  <si>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</si>
  <si>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</si>
  <si>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</si>
  <si>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</si>
  <si>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</si>
  <si>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</si>
  <si>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</si>
  <si>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</si>
  <si>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</si>
  <si>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</si>
  <si>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</si>
  <si>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</si>
  <si>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</si>
  <si>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</si>
  <si>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</si>
  <si>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</si>
  <si>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</si>
  <si>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</si>
  <si>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</si>
  <si>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</si>
  <si>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</si>
  <si>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</si>
  <si>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</si>
  <si>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</si>
  <si>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</si>
  <si>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</si>
  <si>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</si>
  <si>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</si>
  <si>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</si>
  <si>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</si>
  <si>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</si>
  <si>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</si>
  <si>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</si>
  <si>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</si>
  <si>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</si>
  <si>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</si>
  <si>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</si>
  <si>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</si>
  <si>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</si>
  <si>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</si>
  <si>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</si>
  <si>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</si>
  <si>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</si>
  <si>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</si>
  <si>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</si>
  <si>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</si>
  <si>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</si>
  <si>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</si>
  <si>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</si>
  <si>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</si>
  <si>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</si>
  <si>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</si>
  <si>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</si>
  <si>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</si>
  <si>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</si>
  <si>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</si>
  <si>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</si>
  <si>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</si>
  <si>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</si>
  <si>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</si>
  <si>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</si>
  <si>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</si>
  <si>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</si>
  <si>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</si>
  <si>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</si>
  <si>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</si>
  <si>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</si>
  <si>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</si>
  <si>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</si>
  <si>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</si>
  <si>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</si>
  <si>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</si>
  <si>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</si>
  <si>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</si>
  <si>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</si>
  <si>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</si>
  <si>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</si>
  <si>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</si>
  <si>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</si>
  <si>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</si>
  <si>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</si>
  <si>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</si>
  <si>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</si>
  <si>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</si>
  <si>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</si>
  <si>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</si>
  <si>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</si>
  <si>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</si>
  <si>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</si>
  <si>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</si>
  <si>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</si>
  <si>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</si>
  <si>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</si>
  <si>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</si>
  <si>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</si>
  <si>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</si>
  <si>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</si>
  <si>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</si>
  <si>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</si>
  <si>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</si>
  <si>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</si>
  <si>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</si>
  <si>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</si>
  <si>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</si>
  <si>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</si>
  <si>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</si>
  <si>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</si>
  <si>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</si>
  <si>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</si>
  <si>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</si>
  <si>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</si>
  <si>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</si>
  <si>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</si>
  <si>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</si>
  <si>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</si>
  <si>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</si>
  <si>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</si>
  <si>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</si>
  <si>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</si>
  <si>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</si>
  <si>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</si>
  <si>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</si>
  <si>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</si>
  <si>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</si>
  <si>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</si>
  <si>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</si>
  <si>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</si>
  <si>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</si>
  <si>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</si>
  <si>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</si>
  <si>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</si>
  <si>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</si>
  <si>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</si>
  <si>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</si>
  <si>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</si>
  <si>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</si>
  <si>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</si>
  <si>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</si>
  <si>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</si>
  <si>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</si>
  <si>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</si>
  <si>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</si>
  <si>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</si>
  <si>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</si>
  <si>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</si>
  <si>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</si>
  <si>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</si>
  <si>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</si>
  <si>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</si>
  <si>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</si>
  <si>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</si>
  <si>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</si>
  <si>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</si>
  <si>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</si>
  <si>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</si>
  <si>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</si>
  <si>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</si>
  <si>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</si>
  <si>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</si>
  <si>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</si>
  <si>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</si>
  <si>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</si>
  <si>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</si>
  <si>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</si>
  <si>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</si>
  <si>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</si>
  <si>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</si>
  <si>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</si>
  <si>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</si>
  <si>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</si>
  <si>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</si>
  <si>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</si>
  <si>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</si>
  <si>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</si>
  <si>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</si>
  <si>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</si>
  <si>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</si>
  <si>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</si>
  <si>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</si>
  <si>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</si>
  <si>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</si>
  <si>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</si>
  <si>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</si>
  <si>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</si>
  <si>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</si>
  <si>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</si>
  <si>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</si>
  <si>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</si>
  <si>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</si>
  <si>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</si>
  <si>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</si>
  <si>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</si>
  <si>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</si>
  <si>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</si>
  <si>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</si>
  <si>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</si>
  <si>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</si>
  <si>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</si>
  <si>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</si>
  <si>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</si>
  <si>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</si>
  <si>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</si>
  <si>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</si>
  <si>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</si>
  <si>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</si>
  <si>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</si>
  <si>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</si>
  <si>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</si>
  <si>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</si>
  <si>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</si>
  <si>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</si>
  <si>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</si>
  <si>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</si>
  <si>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</si>
  <si>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</si>
  <si>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</si>
  <si>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</si>
  <si>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</si>
  <si>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</si>
  <si>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</si>
  <si>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</si>
  <si>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</si>
  <si>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</si>
  <si>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</si>
  <si>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</si>
  <si>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</si>
  <si>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</si>
  <si>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</si>
  <si>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</si>
  <si>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</si>
  <si>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</si>
  <si>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</si>
  <si>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</si>
  <si>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</si>
  <si>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</si>
  <si>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</si>
  <si>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</si>
  <si>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</si>
  <si>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</si>
  <si>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</si>
  <si>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</si>
  <si>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</si>
  <si>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</si>
  <si>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</si>
  <si>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</si>
  <si>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</si>
  <si>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</si>
  <si>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</si>
  <si>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</si>
  <si>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</si>
  <si>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</si>
  <si>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</si>
  <si>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</si>
  <si>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</si>
  <si>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</si>
  <si>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</si>
  <si>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</si>
  <si>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</si>
  <si>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</si>
  <si>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</si>
  <si>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</si>
  <si>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</si>
  <si>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</si>
  <si>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</si>
  <si>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</si>
  <si>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</si>
  <si>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</si>
  <si>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</si>
  <si>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</si>
  <si>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</si>
  <si>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</si>
  <si>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</si>
  <si>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</si>
  <si>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</si>
  <si>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</si>
  <si>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</si>
  <si>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</si>
  <si>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</si>
  <si>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</si>
  <si>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</si>
  <si>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</si>
  <si>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</si>
  <si>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</si>
  <si>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</si>
  <si>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</si>
  <si>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</si>
  <si>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</si>
  <si>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</si>
  <si>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</si>
  <si>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</si>
  <si>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</si>
  <si>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</si>
  <si>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</si>
  <si>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</si>
  <si>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</si>
  <si>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</si>
  <si>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</si>
  <si>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</si>
  <si>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</si>
  <si>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</si>
  <si>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</si>
  <si>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</si>
  <si>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</si>
  <si>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</si>
  <si>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</si>
  <si>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</si>
  <si>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</si>
  <si>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</si>
  <si>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</si>
  <si>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</si>
  <si>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</si>
  <si>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</si>
  <si>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</si>
  <si>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📈  PIVOT SUMMARY — Social Media Analytics for Strategic Branding</t>
  </si>
  <si>
    <t>🎯 Campaign Performance</t>
  </si>
  <si>
    <t>🏷️ Hashtag Performance</t>
  </si>
  <si>
    <t>Avg Rate</t>
  </si>
  <si>
    <t>295,774</t>
  </si>
  <si>
    <t>232,785</t>
  </si>
  <si>
    <t>21,636</t>
  </si>
  <si>
    <t>41,353</t>
  </si>
  <si>
    <t>15.4%</t>
  </si>
  <si>
    <t>239,605</t>
  </si>
  <si>
    <t>187,436</t>
  </si>
  <si>
    <t>17.2%</t>
  </si>
  <si>
    <t>265,044</t>
  </si>
  <si>
    <t>212,431</t>
  </si>
  <si>
    <t>18,692</t>
  </si>
  <si>
    <t>33,921</t>
  </si>
  <si>
    <t>13.7%</t>
  </si>
  <si>
    <t>227,957</t>
  </si>
  <si>
    <t>175,801</t>
  </si>
  <si>
    <t>15.1%</t>
  </si>
  <si>
    <t>256,339</t>
  </si>
  <si>
    <t>198,666</t>
  </si>
  <si>
    <t>18,550</t>
  </si>
  <si>
    <t>39,123</t>
  </si>
  <si>
    <t>14.4%</t>
  </si>
  <si>
    <t>210,680</t>
  </si>
  <si>
    <t>170,000</t>
  </si>
  <si>
    <t>14.2%</t>
  </si>
  <si>
    <t>220,610</t>
  </si>
  <si>
    <t>176,109</t>
  </si>
  <si>
    <t>15,973</t>
  </si>
  <si>
    <t>28,528</t>
  </si>
  <si>
    <t>15.8%</t>
  </si>
  <si>
    <t>184,397</t>
  </si>
  <si>
    <t>146,000</t>
  </si>
  <si>
    <t>13.9%</t>
  </si>
  <si>
    <t>175,128</t>
  </si>
  <si>
    <t>140,754</t>
  </si>
  <si>
    <t>13.0%</t>
  </si>
  <si>
    <t>📌 Content Type Performance</t>
  </si>
  <si>
    <t>219,430</t>
  </si>
  <si>
    <t>173,468</t>
  </si>
  <si>
    <t>🌐 Platform Breakdown</t>
  </si>
  <si>
    <t>202,978</t>
  </si>
  <si>
    <t>161,999</t>
  </si>
  <si>
    <t>162,466</t>
  </si>
  <si>
    <t>127,945</t>
  </si>
  <si>
    <t>15.6%</t>
  </si>
  <si>
    <t>305,242</t>
  </si>
  <si>
    <t>242,761</t>
  </si>
  <si>
    <t>23,300</t>
  </si>
  <si>
    <t>39,181</t>
  </si>
  <si>
    <t>12.2%</t>
  </si>
  <si>
    <t>160,550</t>
  </si>
  <si>
    <t>124,488</t>
  </si>
  <si>
    <t>18.4%</t>
  </si>
  <si>
    <t>263,579</t>
  </si>
  <si>
    <t>204,284</t>
  </si>
  <si>
    <t>17,851</t>
  </si>
  <si>
    <t>41,444</t>
  </si>
  <si>
    <t>19.3%</t>
  </si>
  <si>
    <t>146,869</t>
  </si>
  <si>
    <t>115,595</t>
  </si>
  <si>
    <t>256,005</t>
  </si>
  <si>
    <t>201,397</t>
  </si>
  <si>
    <t>20,880</t>
  </si>
  <si>
    <t>33,728</t>
  </si>
  <si>
    <t>145,474</t>
  </si>
  <si>
    <t>116,496</t>
  </si>
  <si>
    <t>11.8%</t>
  </si>
  <si>
    <t>212,941</t>
  </si>
  <si>
    <t>171,549</t>
  </si>
  <si>
    <t>12,820</t>
  </si>
  <si>
    <t>28,572</t>
  </si>
  <si>
    <t>13.1%</t>
  </si>
  <si>
    <t>📅 Monthly Engagement Trend</t>
  </si>
  <si>
    <t>100,936</t>
  </si>
  <si>
    <t>78,694</t>
  </si>
  <si>
    <t>16.4%</t>
  </si>
  <si>
    <t>109,559</t>
  </si>
  <si>
    <t>90,017</t>
  </si>
  <si>
    <t>13.4%</t>
  </si>
  <si>
    <t>95,837</t>
  </si>
  <si>
    <t>75,315</t>
  </si>
  <si>
    <t>13.2%</t>
  </si>
  <si>
    <t>50,228</t>
  </si>
  <si>
    <t>39,466</t>
  </si>
  <si>
    <t>137,691</t>
  </si>
  <si>
    <t>108,706</t>
  </si>
  <si>
    <t>97,033</t>
  </si>
  <si>
    <t>79,366</t>
  </si>
  <si>
    <t>70,955</t>
  </si>
  <si>
    <t>53,263</t>
  </si>
  <si>
    <t>72,362</t>
  </si>
  <si>
    <t>57,790</t>
  </si>
  <si>
    <t>17.9%</t>
  </si>
  <si>
    <t>69,940</t>
  </si>
  <si>
    <t>53,995</t>
  </si>
  <si>
    <t>17.6%</t>
  </si>
  <si>
    <t>106,020</t>
  </si>
  <si>
    <t>80,561</t>
  </si>
  <si>
    <t>12.1%</t>
  </si>
  <si>
    <t>92,263</t>
  </si>
  <si>
    <t>74,428</t>
  </si>
  <si>
    <t>19.9%</t>
  </si>
  <si>
    <t>34,943</t>
  </si>
  <si>
    <t>28,390</t>
  </si>
  <si>
    <t>11.7%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</si>
</sst>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8"/>
      <color rgb="FFFFFFFF"/>
      <name val="Arial"/>
    </font>
    <font>
      <sz val="10"/>
      <color rgb="FF90CAF9"/>
      <name val="Arial"/>
    </font>
    <font>
      <sz val="9"/>
      <color rgb="FF78909C"/>
      <name val="Arial"/>
    </font>
    <font>
      <sz val="22"/>
      <name val="Calibri"/>
    </font>
    <font>
      <b/>
      <sz val="18"/>
      <color rgb="FF1565C0"/>
      <name val="Arial"/>
    </font>
    <font>
      <b/>
      <sz val="8"/>
      <color rgb="FF455A64"/>
      <name val="Arial"/>
    </font>
    <font>
      <b/>
      <sz val="18"/>
      <color rgb="FF00897B"/>
      <name val="Arial"/>
    </font>
    <font>
      <b/>
      <sz val="18"/>
      <color rgb="FF6A1B9A"/>
      <name val="Arial"/>
    </font>
    <font>
      <b/>
      <sz val="18"/>
      <color rgb="FFE65100"/>
      <name val="Arial"/>
    </font>
    <font>
      <b/>
      <sz val="18"/>
      <color rgb="FF2E7D32"/>
      <name val="Arial"/>
    </font>
    <font>
      <b/>
      <sz val="18"/>
      <color rgb="FFAD1457"/>
      <name val="Arial"/>
    </font>
    <font>
      <b/>
      <sz val="18"/>
      <color rgb="FFF9A825"/>
      <name val="Arial"/>
    </font>
    <font>
      <b/>
      <sz val="11"/>
      <color rgb="FFFFFFFF"/>
      <name val="Arial"/>
    </font>
    <font>
      <sz val="12"/>
      <color rgb="FFFFFFFF"/>
      <name val="Calibri"/>
    </font>
    <font>
      <b/>
      <sz val="9"/>
      <color rgb="FF2E7D32"/>
      <name val="Arial"/>
    </font>
    <font>
      <sz val="9"/>
      <color rgb="FF263238"/>
      <name val="Arial"/>
    </font>
    <font>
      <sz val="8"/>
      <color rgb="FF90CAF9"/>
      <name val="Arial"/>
    </font>
    <font>
      <b/>
      <sz val="14"/>
      <color rgb="FFFFFFFF"/>
      <name val="Arial"/>
    </font>
    <font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00897B"/>
      </patternFill>
    </fill>
    <fill>
      <patternFill patternType="solid">
        <fgColor rgb="FF6A1B9A"/>
      </patternFill>
    </fill>
    <fill>
      <patternFill patternType="solid">
        <fgColor rgb="FFE65100"/>
      </patternFill>
    </fill>
    <fill>
      <patternFill patternType="solid">
        <fgColor rgb="FFAD1457"/>
      </patternFill>
    </fill>
    <fill>
      <patternFill patternType="solid">
        <fgColor rgb="FF0D1B2A"/>
      </patternFill>
    </fill>
    <fill>
      <patternFill patternType="solid">
        <fgColor rgb="FFE3F2FD"/>
      </patternFill>
    </fill>
    <fill>
      <patternFill patternType="solid">
        <fgColor rgb="FFE0F2F1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FCE4EC"/>
      </patternFill>
    </fill>
    <fill>
      <patternFill patternType="solid">
        <fgColor rgb="FFFFFFF8"/>
      </patternFill>
    </fill>
    <fill>
      <patternFill patternType="solid">
        <fgColor rgb="FFF9A825"/>
      </patternFill>
    </fill>
    <fill>
      <patternFill patternType="solid">
        <fgColor rgb="FFF1F8E9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7" borderId="0" xfId="0" applyFill="1"/>
    <xf numFmtId="0" fontId="15" fillId="13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left" vertical="center"/>
    </xf>
    <xf numFmtId="0" fontId="16" fillId="1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0" fontId="0" fillId="0" borderId="0" xfId="0" applyNumberFormat="1"/>
    <xf numFmtId="0" fontId="1" fillId="7" borderId="0" xfId="0" applyFont="1" applyFill="1" applyAlignment="1">
      <alignment horizontal="center" vertical="center"/>
    </xf>
    <xf numFmtId="0" fontId="0" fillId="18" borderId="0" xfId="0" applyFill="1"/>
    <xf numFmtId="10" fontId="0" fillId="18" borderId="0" xfId="0" applyNumberFormat="1" applyFill="1"/>
    <xf numFmtId="0" fontId="0" fillId="19" borderId="0" xfId="0" applyFill="1"/>
    <xf numFmtId="10" fontId="0" fillId="19" borderId="0" xfId="0" applyNumberFormat="1" applyFill="1"/>
    <xf numFmtId="0" fontId="20" fillId="18" borderId="0" xfId="0" applyFont="1" applyFill="1" applyAlignment="1">
      <alignment horizontal="left" vertical="center"/>
    </xf>
    <xf numFmtId="0" fontId="20" fillId="18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left" vertical="center"/>
    </xf>
    <xf numFmtId="0" fontId="20" fillId="1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0" fillId="0" borderId="0" xfId="0"/>
    <xf numFmtId="0" fontId="14" fillId="5" borderId="0" xfId="0" applyFont="1" applyFill="1" applyAlignment="1">
      <alignment horizontal="left" vertical="center"/>
    </xf>
    <xf numFmtId="0" fontId="0" fillId="5" borderId="0" xfId="0" applyFill="1"/>
    <xf numFmtId="0" fontId="2" fillId="7" borderId="0" xfId="0" applyFont="1" applyFill="1" applyAlignment="1">
      <alignment horizontal="center" vertical="center"/>
    </xf>
    <xf numFmtId="0" fontId="0" fillId="2" borderId="0" xfId="0" applyFill="1"/>
    <xf numFmtId="0" fontId="0" fillId="6" borderId="0" xfId="0" applyFill="1"/>
    <xf numFmtId="0" fontId="0" fillId="16" borderId="0" xfId="0" applyFill="1"/>
    <xf numFmtId="3" fontId="12" fillId="14" borderId="0" xfId="0" applyNumberFormat="1" applyFont="1" applyFill="1" applyAlignment="1">
      <alignment horizontal="center" vertical="center"/>
    </xf>
    <xf numFmtId="3" fontId="6" fillId="8" borderId="0" xfId="0" applyNumberFormat="1" applyFont="1" applyFill="1" applyAlignment="1">
      <alignment horizontal="center" vertical="center"/>
    </xf>
    <xf numFmtId="3" fontId="13" fillId="15" borderId="0" xfId="0" applyNumberFormat="1" applyFont="1" applyFill="1" applyAlignment="1">
      <alignment horizontal="center" vertical="center"/>
    </xf>
    <xf numFmtId="0" fontId="17" fillId="12" borderId="0" xfId="0" applyFont="1" applyFill="1" applyAlignment="1">
      <alignment horizontal="left" vertical="center" wrapText="1"/>
    </xf>
    <xf numFmtId="0" fontId="0" fillId="13" borderId="0" xfId="0" applyFill="1"/>
    <xf numFmtId="0" fontId="0" fillId="4" borderId="0" xfId="0" applyFill="1"/>
    <xf numFmtId="0" fontId="7" fillId="8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0" fillId="3" borderId="0" xfId="0" applyFill="1"/>
    <xf numFmtId="0" fontId="14" fillId="3" borderId="0" xfId="0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3" fontId="8" fillId="9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left" vertical="center"/>
    </xf>
    <xf numFmtId="3" fontId="9" fillId="10" borderId="0" xfId="0" applyNumberFormat="1" applyFont="1" applyFill="1" applyAlignment="1">
      <alignment horizontal="center" vertical="center"/>
    </xf>
    <xf numFmtId="3" fontId="10" fillId="11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right" vertical="center"/>
    </xf>
    <xf numFmtId="0" fontId="7" fillId="12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Data!$E$1</c:f>
              <c:strCache>
                <c:ptCount val="1"/>
                <c:pt idx="0">
                  <c:v>Total Engagement</c:v>
                </c:pt>
              </c:strCache>
            </c:strRef>
          </c:tx>
          <c:spPr>
            <a:ln w="25000">
              <a:solidFill>
                <a:srgbClr val="1E88E5"/>
              </a:solidFill>
              <a:prstDash val="solid"/>
            </a:ln>
          </c:spPr>
          <c:marker>
            <c:symbol val="none"/>
          </c:marker>
          <c:cat>
            <c:strRef>
              <c:f>Data!$D$2:$D$13</c:f>
              <c:strCache>
                <c:ptCount val="12"/>
                <c:pt idx="0">
                  <c:v>Jun 2024</c:v>
                </c:pt>
                <c:pt idx="1">
                  <c:v>Jul 2024</c:v>
                </c:pt>
                <c:pt idx="2">
                  <c:v>Aug 2024</c:v>
                </c:pt>
                <c:pt idx="3">
                  <c:v>Sep 2024</c:v>
                </c:pt>
                <c:pt idx="4">
                  <c:v>Oct 2024</c:v>
                </c:pt>
                <c:pt idx="5">
                  <c:v>Nov 2024</c:v>
                </c:pt>
                <c:pt idx="6">
                  <c:v>Dec 2024</c:v>
                </c:pt>
                <c:pt idx="7">
                  <c:v>Jan 2025</c:v>
                </c:pt>
                <c:pt idx="8">
                  <c:v>Feb 2025</c:v>
                </c:pt>
                <c:pt idx="9">
                  <c:v>Mar 2025</c:v>
                </c:pt>
                <c:pt idx="10">
                  <c:v>Apr 2025</c:v>
                </c:pt>
                <c:pt idx="11">
                  <c:v>May 2025</c:v>
                </c:pt>
              </c:strCache>
            </c:strRef>
          </c:cat>
          <c:val>
            <c:numRef>
              <c:f>Data!$E$2:$E$13</c:f>
              <c:numCache>
                <c:formatCode>General</c:formatCode>
                <c:ptCount val="12"/>
                <c:pt idx="0">
                  <c:v>100936</c:v>
                </c:pt>
                <c:pt idx="1">
                  <c:v>109559</c:v>
                </c:pt>
                <c:pt idx="2">
                  <c:v>95837</c:v>
                </c:pt>
                <c:pt idx="3">
                  <c:v>50228</c:v>
                </c:pt>
                <c:pt idx="4">
                  <c:v>137691</c:v>
                </c:pt>
                <c:pt idx="5">
                  <c:v>97033</c:v>
                </c:pt>
                <c:pt idx="6">
                  <c:v>70955</c:v>
                </c:pt>
                <c:pt idx="7">
                  <c:v>72362</c:v>
                </c:pt>
                <c:pt idx="8">
                  <c:v>69940</c:v>
                </c:pt>
                <c:pt idx="9">
                  <c:v>106020</c:v>
                </c:pt>
                <c:pt idx="10">
                  <c:v>92263</c:v>
                </c:pt>
                <c:pt idx="11">
                  <c:v>34943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73-434C-B1D6-575207ED1833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Total Likes</c:v>
                </c:pt>
              </c:strCache>
            </c:strRef>
          </c:tx>
          <c:spPr>
            <a:ln w="20000">
              <a:solidFill>
                <a:srgbClr val="00897B"/>
              </a:solidFill>
              <a:prstDash val="solid"/>
            </a:ln>
          </c:spPr>
          <c:marker>
            <c:symbol val="none"/>
          </c:marker>
          <c:cat>
            <c:strRef>
              <c:f>Data!$D$2:$D$13</c:f>
              <c:strCache>
                <c:ptCount val="12"/>
                <c:pt idx="0">
                  <c:v>Jun 2024</c:v>
                </c:pt>
                <c:pt idx="1">
                  <c:v>Jul 2024</c:v>
                </c:pt>
                <c:pt idx="2">
                  <c:v>Aug 2024</c:v>
                </c:pt>
                <c:pt idx="3">
                  <c:v>Sep 2024</c:v>
                </c:pt>
                <c:pt idx="4">
                  <c:v>Oct 2024</c:v>
                </c:pt>
                <c:pt idx="5">
                  <c:v>Nov 2024</c:v>
                </c:pt>
                <c:pt idx="6">
                  <c:v>Dec 2024</c:v>
                </c:pt>
                <c:pt idx="7">
                  <c:v>Jan 2025</c:v>
                </c:pt>
                <c:pt idx="8">
                  <c:v>Feb 2025</c:v>
                </c:pt>
                <c:pt idx="9">
                  <c:v>Mar 2025</c:v>
                </c:pt>
                <c:pt idx="10">
                  <c:v>Apr 2025</c:v>
                </c:pt>
                <c:pt idx="11">
                  <c:v>May 2025</c:v>
                </c:pt>
              </c:strCache>
            </c:strRef>
          </c:cat>
          <c:val>
            <c:numRef>
              <c:f>Data!$F$2:$F$13</c:f>
              <c:numCache>
                <c:formatCode>General</c:formatCode>
                <c:ptCount val="12"/>
                <c:pt idx="0">
                  <c:v>78694</c:v>
                </c:pt>
                <c:pt idx="1">
                  <c:v>90017</c:v>
                </c:pt>
                <c:pt idx="2">
                  <c:v>75315</c:v>
                </c:pt>
                <c:pt idx="3">
                  <c:v>39466</c:v>
                </c:pt>
                <c:pt idx="4">
                  <c:v>108706</c:v>
                </c:pt>
                <c:pt idx="5">
                  <c:v>79366</c:v>
                </c:pt>
                <c:pt idx="6">
                  <c:v>53263</c:v>
                </c:pt>
                <c:pt idx="7">
                  <c:v>57790</c:v>
                </c:pt>
                <c:pt idx="8">
                  <c:v>53995</c:v>
                </c:pt>
                <c:pt idx="9">
                  <c:v>80561</c:v>
                </c:pt>
                <c:pt idx="10">
                  <c:v>74428</c:v>
                </c:pt>
                <c:pt idx="11">
                  <c:v>28390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73-434C-B1D6-575207ED1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Data!$L$1</c:f>
              <c:strCache>
                <c:ptCount val="1"/>
                <c:pt idx="0">
                  <c:v>Total Engagement</c:v>
                </c:pt>
              </c:strCache>
            </c:strRef>
          </c:tx>
          <c:spPr>
            <a:solidFill>
              <a:srgbClr val="00897B"/>
            </a:solidFill>
            <a:ln>
              <a:prstDash val="solid"/>
            </a:ln>
          </c:spPr>
          <c:invertIfNegative val="1"/>
          <c:cat>
            <c:strRef>
              <c:f>Data!$K$2:$K$6</c:f>
              <c:strCache>
                <c:ptCount val="5"/>
                <c:pt idx="0">
                  <c:v>#StyleWithMyntra</c:v>
                </c:pt>
                <c:pt idx="1">
                  <c:v>#MyntraSale</c:v>
                </c:pt>
                <c:pt idx="2">
                  <c:v>#MyntraTrend</c:v>
                </c:pt>
                <c:pt idx="3">
                  <c:v>#MyntraFashion</c:v>
                </c:pt>
                <c:pt idx="4">
                  <c:v>#FashionDeals</c:v>
                </c:pt>
              </c:strCache>
            </c:strRef>
          </c:cat>
          <c:val>
            <c:numRef>
              <c:f>Data!$L$2:$L$6</c:f>
              <c:numCache>
                <c:formatCode>General</c:formatCode>
                <c:ptCount val="5"/>
                <c:pt idx="0">
                  <c:v>239605</c:v>
                </c:pt>
                <c:pt idx="1">
                  <c:v>227957</c:v>
                </c:pt>
                <c:pt idx="2">
                  <c:v>210680</c:v>
                </c:pt>
                <c:pt idx="3">
                  <c:v>184397</c:v>
                </c:pt>
                <c:pt idx="4">
                  <c:v>175128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37-4AE1-AB63-9E85646DF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Data!$Q$1</c:f>
              <c:strCache>
                <c:ptCount val="1"/>
                <c:pt idx="0">
                  <c:v>Total Engagement</c:v>
                </c:pt>
              </c:strCache>
            </c:strRef>
          </c:tx>
          <c:spPr>
            <a:solidFill>
              <a:srgbClr val="6A1B9A"/>
            </a:solidFill>
            <a:ln>
              <a:prstDash val="solid"/>
            </a:ln>
          </c:spPr>
          <c:invertIfNegative val="1"/>
          <c:cat>
            <c:strRef>
              <c:f>Data!$P$2:$P$5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Data!$Q$2:$Q$5</c:f>
              <c:numCache>
                <c:formatCode>General</c:formatCode>
                <c:ptCount val="4"/>
                <c:pt idx="0">
                  <c:v>295774</c:v>
                </c:pt>
                <c:pt idx="1">
                  <c:v>265044</c:v>
                </c:pt>
                <c:pt idx="2">
                  <c:v>256339</c:v>
                </c:pt>
                <c:pt idx="3">
                  <c:v>220610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44-4521-A7A6-D860EBB089F5}"/>
            </c:ext>
          </c:extLst>
        </c:ser>
        <c:ser>
          <c:idx val="1"/>
          <c:order val="1"/>
          <c:tx>
            <c:strRef>
              <c:f>Data!$R$1</c:f>
              <c:strCache>
                <c:ptCount val="1"/>
                <c:pt idx="0">
                  <c:v>Total Likes</c:v>
                </c:pt>
              </c:strCache>
            </c:strRef>
          </c:tx>
          <c:spPr>
            <a:solidFill>
              <a:srgbClr val="1E88E5"/>
            </a:solidFill>
            <a:ln>
              <a:prstDash val="solid"/>
            </a:ln>
          </c:spPr>
          <c:invertIfNegative val="1"/>
          <c:cat>
            <c:strRef>
              <c:f>Data!$P$2:$P$5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Data!$R$2:$R$5</c:f>
              <c:numCache>
                <c:formatCode>General</c:formatCode>
                <c:ptCount val="4"/>
                <c:pt idx="0">
                  <c:v>232785</c:v>
                </c:pt>
                <c:pt idx="1">
                  <c:v>212431</c:v>
                </c:pt>
                <c:pt idx="2">
                  <c:v>198666</c:v>
                </c:pt>
                <c:pt idx="3">
                  <c:v>176109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944-4521-A7A6-D860EBB089F5}"/>
            </c:ext>
          </c:extLst>
        </c:ser>
        <c:ser>
          <c:idx val="2"/>
          <c:order val="2"/>
          <c:tx>
            <c:strRef>
              <c:f>Data!$S$1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rgbClr val="00897B"/>
            </a:solidFill>
            <a:ln>
              <a:prstDash val="solid"/>
            </a:ln>
          </c:spPr>
          <c:invertIfNegative val="1"/>
          <c:cat>
            <c:strRef>
              <c:f>Data!$P$2:$P$5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Data!$S$2:$S$5</c:f>
              <c:numCache>
                <c:formatCode>General</c:formatCode>
                <c:ptCount val="4"/>
                <c:pt idx="0">
                  <c:v>21636</c:v>
                </c:pt>
                <c:pt idx="1">
                  <c:v>18692</c:v>
                </c:pt>
                <c:pt idx="2">
                  <c:v>18550</c:v>
                </c:pt>
                <c:pt idx="3">
                  <c:v>15973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944-4521-A7A6-D860EBB08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pieChart>
        <c:varyColors val="1"/>
        <c:ser>
          <c:idx val="0"/>
          <c:order val="0"/>
          <c:tx>
            <c:strRef>
              <c:f>Data!$X$1</c:f>
              <c:strCache>
                <c:ptCount val="1"/>
                <c:pt idx="0">
                  <c:v>Total Engagement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565C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72-4249-A785-0772B156D9C0}"/>
              </c:ext>
            </c:extLst>
          </c:dPt>
          <c:dPt>
            <c:idx val="1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72-4249-A785-0772B156D9C0}"/>
              </c:ext>
            </c:extLst>
          </c:dPt>
          <c:dPt>
            <c:idx val="2"/>
            <c:bubble3D val="0"/>
            <c:spPr>
              <a:solidFill>
                <a:srgbClr val="E651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72-4249-A785-0772B156D9C0}"/>
              </c:ext>
            </c:extLst>
          </c:dPt>
          <c:dPt>
            <c:idx val="3"/>
            <c:bubble3D val="0"/>
            <c:spPr>
              <a:solidFill>
                <a:srgbClr val="6A1B9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272-4249-A785-0772B156D9C0}"/>
              </c:ext>
            </c:extLst>
          </c:dPt>
          <c:dPt>
            <c:idx val="4"/>
            <c:bubble3D val="0"/>
            <c:spPr>
              <a:solidFill>
                <a:srgbClr val="2E7D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272-4249-A785-0772B156D9C0}"/>
              </c:ext>
            </c:extLst>
          </c:dPt>
          <c:dPt>
            <c:idx val="5"/>
            <c:bubble3D val="0"/>
            <c:spPr>
              <a:solidFill>
                <a:srgbClr val="AD145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272-4249-A785-0772B156D9C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Data!$W$2:$W$7</c:f>
              <c:strCache>
                <c:ptCount val="6"/>
                <c:pt idx="0">
                  <c:v>Image</c:v>
                </c:pt>
                <c:pt idx="1">
                  <c:v>Carousel</c:v>
                </c:pt>
                <c:pt idx="2">
                  <c:v>Reel</c:v>
                </c:pt>
                <c:pt idx="3">
                  <c:v>Story</c:v>
                </c:pt>
                <c:pt idx="4">
                  <c:v>Video</c:v>
                </c:pt>
                <c:pt idx="5">
                  <c:v>Text</c:v>
                </c:pt>
              </c:strCache>
            </c:strRef>
          </c:cat>
          <c:val>
            <c:numRef>
              <c:f>Data!$X$2:$X$7</c:f>
              <c:numCache>
                <c:formatCode>General</c:formatCode>
                <c:ptCount val="6"/>
                <c:pt idx="0">
                  <c:v>219430</c:v>
                </c:pt>
                <c:pt idx="1">
                  <c:v>202978</c:v>
                </c:pt>
                <c:pt idx="2">
                  <c:v>162466</c:v>
                </c:pt>
                <c:pt idx="3">
                  <c:v>160550</c:v>
                </c:pt>
                <c:pt idx="4">
                  <c:v>146869</c:v>
                </c:pt>
                <c:pt idx="5">
                  <c:v>145474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272-4249-A785-0772B156D9C0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Data!$AC$1</c:f>
              <c:strCache>
                <c:ptCount val="1"/>
                <c:pt idx="0">
                  <c:v>Total Engagement</c:v>
                </c:pt>
              </c:strCache>
            </c:strRef>
          </c:tx>
          <c:spPr>
            <a:solidFill>
              <a:srgbClr val="AD1457"/>
            </a:solidFill>
            <a:ln>
              <a:prstDash val="solid"/>
            </a:ln>
          </c:spPr>
          <c:invertIfNegative val="1"/>
          <c:cat>
            <c:strRef>
              <c:f>Data!$AB$2:$AB$5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Data!$AC$2:$AC$5</c:f>
              <c:numCache>
                <c:formatCode>General</c:formatCode>
                <c:ptCount val="4"/>
                <c:pt idx="0">
                  <c:v>305242</c:v>
                </c:pt>
                <c:pt idx="1">
                  <c:v>263579</c:v>
                </c:pt>
                <c:pt idx="2">
                  <c:v>256005</c:v>
                </c:pt>
                <c:pt idx="3">
                  <c:v>212941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8F-40E3-BAF7-12E0ADBC1A39}"/>
            </c:ext>
          </c:extLst>
        </c:ser>
        <c:ser>
          <c:idx val="1"/>
          <c:order val="1"/>
          <c:tx>
            <c:strRef>
              <c:f>Data!$AD$1</c:f>
              <c:strCache>
                <c:ptCount val="1"/>
                <c:pt idx="0">
                  <c:v>Total Likes</c:v>
                </c:pt>
              </c:strCache>
            </c:strRef>
          </c:tx>
          <c:spPr>
            <a:solidFill>
              <a:srgbClr val="1E88E5"/>
            </a:solidFill>
            <a:ln>
              <a:prstDash val="solid"/>
            </a:ln>
          </c:spPr>
          <c:invertIfNegative val="1"/>
          <c:cat>
            <c:strRef>
              <c:f>Data!$AB$2:$AB$5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Data!$AD$2:$AD$5</c:f>
              <c:numCache>
                <c:formatCode>General</c:formatCode>
                <c:ptCount val="4"/>
                <c:pt idx="0">
                  <c:v>242761</c:v>
                </c:pt>
                <c:pt idx="1">
                  <c:v>204284</c:v>
                </c:pt>
                <c:pt idx="2">
                  <c:v>201397</c:v>
                </c:pt>
                <c:pt idx="3">
                  <c:v>171549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E8F-40E3-BAF7-12E0ADBC1A39}"/>
            </c:ext>
          </c:extLst>
        </c:ser>
        <c:ser>
          <c:idx val="2"/>
          <c:order val="2"/>
          <c:tx>
            <c:strRef>
              <c:f>Data!$AE$1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rgbClr val="00897B"/>
            </a:solidFill>
            <a:ln>
              <a:prstDash val="solid"/>
            </a:ln>
          </c:spPr>
          <c:invertIfNegative val="1"/>
          <c:cat>
            <c:strRef>
              <c:f>Data!$AB$2:$AB$5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Data!$AE$2:$AE$5</c:f>
              <c:numCache>
                <c:formatCode>General</c:formatCode>
                <c:ptCount val="4"/>
                <c:pt idx="0">
                  <c:v>23300</c:v>
                </c:pt>
                <c:pt idx="1">
                  <c:v>17851</c:v>
                </c:pt>
                <c:pt idx="2">
                  <c:v>20880</c:v>
                </c:pt>
                <c:pt idx="3">
                  <c:v>12820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E8F-40E3-BAF7-12E0ADBC1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16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34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34</xdr:row>
      <xdr:rowOff>0</xdr:rowOff>
    </xdr:from>
    <xdr:ext cx="792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53</xdr:row>
      <xdr:rowOff>0</xdr:rowOff>
    </xdr:from>
    <xdr:ext cx="6480000" cy="36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Q79"/>
  <sheetViews>
    <sheetView showGridLines="0" tabSelected="1" workbookViewId="0">
      <selection activeCell="F8" sqref="F8:G9"/>
    </sheetView>
  </sheetViews>
  <sheetFormatPr defaultRowHeight="14.4" x14ac:dyDescent="0.3"/>
  <cols>
    <col min="1" max="1" width="1.44140625" customWidth="1"/>
    <col min="2" max="16" width="14" customWidth="1"/>
    <col min="17" max="17" width="1.44140625" customWidth="1"/>
  </cols>
  <sheetData>
    <row r="1" spans="1:17" ht="13.9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95" customHeight="1" x14ac:dyDescent="0.3">
      <c r="A2" s="1"/>
      <c r="B2" s="24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"/>
    </row>
    <row r="3" spans="1:17" ht="22.05" customHeight="1" x14ac:dyDescent="0.3">
      <c r="A3" s="1"/>
      <c r="B3" s="58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"/>
    </row>
    <row r="4" spans="1:17" ht="13.95" customHeight="1" x14ac:dyDescent="0.3">
      <c r="A4" s="1"/>
      <c r="B4" s="40" t="s">
        <v>2</v>
      </c>
      <c r="C4" s="21"/>
      <c r="D4" s="21"/>
      <c r="E4" s="21"/>
      <c r="F4" s="21"/>
      <c r="G4" s="21"/>
      <c r="H4" s="21"/>
      <c r="I4" s="55" t="s">
        <v>3</v>
      </c>
      <c r="J4" s="21"/>
      <c r="K4" s="21"/>
      <c r="L4" s="21"/>
      <c r="M4" s="21"/>
      <c r="N4" s="21"/>
      <c r="O4" s="21"/>
      <c r="P4" s="21"/>
      <c r="Q4" s="1"/>
    </row>
    <row r="5" spans="1:17" ht="13.9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7.95" customHeight="1" x14ac:dyDescent="0.3"/>
    <row r="7" spans="1:17" ht="19.95" customHeight="1" x14ac:dyDescent="0.3">
      <c r="B7" s="25"/>
      <c r="C7" s="25"/>
      <c r="D7" s="41"/>
      <c r="E7" s="41"/>
      <c r="F7" s="33"/>
      <c r="G7" s="33"/>
      <c r="H7" s="23"/>
      <c r="I7" s="23"/>
      <c r="J7" s="32"/>
      <c r="K7" s="32"/>
      <c r="L7" s="26"/>
      <c r="M7" s="26"/>
      <c r="N7" s="27"/>
      <c r="O7" s="27"/>
    </row>
    <row r="8" spans="1:17" ht="19.95" customHeight="1" x14ac:dyDescent="0.3">
      <c r="B8" s="54" t="s">
        <v>4</v>
      </c>
      <c r="C8" s="21"/>
      <c r="D8" s="36" t="s">
        <v>5</v>
      </c>
      <c r="E8" s="21"/>
      <c r="F8" s="20" t="s">
        <v>6</v>
      </c>
      <c r="G8" s="21"/>
      <c r="H8" s="46" t="s">
        <v>7</v>
      </c>
      <c r="I8" s="21"/>
      <c r="J8" s="47" t="s">
        <v>8</v>
      </c>
      <c r="K8" s="21"/>
      <c r="L8" s="60" t="s">
        <v>9</v>
      </c>
      <c r="M8" s="21"/>
      <c r="N8" s="61" t="s">
        <v>10</v>
      </c>
      <c r="O8" s="21"/>
    </row>
    <row r="9" spans="1:17" ht="19.95" customHeight="1" x14ac:dyDescent="0.3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17" ht="19.95" customHeight="1" x14ac:dyDescent="0.3">
      <c r="B10" s="29">
        <f>Data!B2</f>
        <v>819991</v>
      </c>
      <c r="C10" s="21"/>
      <c r="D10" s="45">
        <f>Data!B3</f>
        <v>74851</v>
      </c>
      <c r="E10" s="21"/>
      <c r="F10" s="49">
        <f>Data!B4</f>
        <v>142925</v>
      </c>
      <c r="G10" s="21"/>
      <c r="H10" s="50">
        <f>Data!B5</f>
        <v>1037767</v>
      </c>
      <c r="I10" s="21"/>
      <c r="J10" s="51" t="s">
        <v>11</v>
      </c>
      <c r="K10" s="21"/>
      <c r="L10" s="28">
        <v>300</v>
      </c>
      <c r="M10" s="21"/>
      <c r="N10" s="30">
        <v>4</v>
      </c>
      <c r="O10" s="21"/>
    </row>
    <row r="11" spans="1:17" ht="19.95" customHeight="1" x14ac:dyDescent="0.3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pans="1:17" ht="19.95" customHeight="1" x14ac:dyDescent="0.3">
      <c r="B12" s="34" t="s">
        <v>12</v>
      </c>
      <c r="C12" s="21"/>
      <c r="D12" s="52" t="s">
        <v>13</v>
      </c>
      <c r="E12" s="21"/>
      <c r="F12" s="37" t="s">
        <v>14</v>
      </c>
      <c r="G12" s="21"/>
      <c r="H12" s="53" t="s">
        <v>15</v>
      </c>
      <c r="I12" s="21"/>
      <c r="J12" s="56" t="s">
        <v>16</v>
      </c>
      <c r="K12" s="21"/>
      <c r="L12" s="38" t="s">
        <v>17</v>
      </c>
      <c r="M12" s="21"/>
      <c r="N12" s="39" t="s">
        <v>18</v>
      </c>
      <c r="O12" s="21"/>
    </row>
    <row r="13" spans="1:17" ht="19.95" customHeight="1" x14ac:dyDescent="0.3">
      <c r="B13" s="25"/>
      <c r="C13" s="25"/>
      <c r="D13" s="41"/>
      <c r="E13" s="41"/>
      <c r="F13" s="33"/>
      <c r="G13" s="33"/>
      <c r="H13" s="23"/>
      <c r="I13" s="23"/>
      <c r="J13" s="32"/>
      <c r="K13" s="32"/>
      <c r="L13" s="26"/>
      <c r="M13" s="26"/>
      <c r="N13" s="27"/>
      <c r="O13" s="27"/>
    </row>
    <row r="14" spans="1:17" ht="7.95" customHeight="1" x14ac:dyDescent="0.3"/>
    <row r="15" spans="1:17" ht="7.95" customHeight="1" x14ac:dyDescent="0.3"/>
    <row r="16" spans="1:17" ht="18" customHeight="1" x14ac:dyDescent="0.3">
      <c r="B16" s="44" t="s">
        <v>19</v>
      </c>
      <c r="C16" s="25"/>
      <c r="D16" s="25"/>
      <c r="E16" s="25"/>
      <c r="F16" s="25"/>
      <c r="G16" s="25"/>
      <c r="H16" s="25"/>
      <c r="I16" s="42" t="s">
        <v>20</v>
      </c>
      <c r="J16" s="41"/>
      <c r="K16" s="41"/>
      <c r="L16" s="41"/>
      <c r="M16" s="41"/>
      <c r="N16" s="41"/>
      <c r="O16" s="41"/>
      <c r="P16" s="41"/>
    </row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spans="2:16" ht="7.95" customHeight="1" x14ac:dyDescent="0.3"/>
    <row r="34" spans="2:16" ht="18" customHeight="1" x14ac:dyDescent="0.3">
      <c r="B34" s="59" t="s">
        <v>21</v>
      </c>
      <c r="C34" s="33"/>
      <c r="D34" s="33"/>
      <c r="E34" s="33"/>
      <c r="F34" s="33"/>
      <c r="G34" s="33"/>
      <c r="H34" s="33"/>
      <c r="I34" s="22" t="s">
        <v>22</v>
      </c>
      <c r="J34" s="23"/>
      <c r="K34" s="23"/>
      <c r="L34" s="23"/>
      <c r="M34" s="23"/>
      <c r="N34" s="23"/>
      <c r="O34" s="23"/>
      <c r="P34" s="23"/>
    </row>
    <row r="35" spans="2:16" ht="18" customHeight="1" x14ac:dyDescent="0.3"/>
    <row r="36" spans="2:16" ht="18" customHeight="1" x14ac:dyDescent="0.3"/>
    <row r="37" spans="2:16" ht="18" customHeight="1" x14ac:dyDescent="0.3"/>
    <row r="38" spans="2:16" ht="18" customHeight="1" x14ac:dyDescent="0.3"/>
    <row r="39" spans="2:16" ht="18" customHeight="1" x14ac:dyDescent="0.3"/>
    <row r="40" spans="2:16" ht="18" customHeight="1" x14ac:dyDescent="0.3"/>
    <row r="41" spans="2:16" ht="18" customHeight="1" x14ac:dyDescent="0.3"/>
    <row r="42" spans="2:16" ht="18" customHeight="1" x14ac:dyDescent="0.3"/>
    <row r="43" spans="2:16" ht="18" customHeight="1" x14ac:dyDescent="0.3"/>
    <row r="44" spans="2:16" ht="18" customHeight="1" x14ac:dyDescent="0.3"/>
    <row r="45" spans="2:16" ht="18" customHeight="1" x14ac:dyDescent="0.3"/>
    <row r="46" spans="2:16" ht="18" customHeight="1" x14ac:dyDescent="0.3"/>
    <row r="47" spans="2:16" ht="18" customHeight="1" x14ac:dyDescent="0.3"/>
    <row r="48" spans="2:16" ht="18" customHeight="1" x14ac:dyDescent="0.3"/>
    <row r="49" spans="2:16" ht="18" customHeight="1" x14ac:dyDescent="0.3"/>
    <row r="50" spans="2:16" ht="18" customHeight="1" x14ac:dyDescent="0.3"/>
    <row r="51" spans="2:16" ht="18" customHeight="1" x14ac:dyDescent="0.3"/>
    <row r="52" spans="2:16" ht="7.95" customHeight="1" x14ac:dyDescent="0.3"/>
    <row r="53" spans="2:16" ht="18" customHeight="1" x14ac:dyDescent="0.3">
      <c r="B53" s="57" t="s">
        <v>23</v>
      </c>
      <c r="C53" s="26"/>
      <c r="D53" s="26"/>
      <c r="E53" s="26"/>
      <c r="F53" s="26"/>
      <c r="G53" s="26"/>
      <c r="H53" s="26"/>
      <c r="I53" s="48" t="s">
        <v>24</v>
      </c>
      <c r="J53" s="32"/>
      <c r="K53" s="32"/>
      <c r="L53" s="32"/>
      <c r="M53" s="32"/>
      <c r="N53" s="32"/>
      <c r="O53" s="32"/>
      <c r="P53" s="32"/>
    </row>
    <row r="54" spans="2:16" ht="16.05" customHeight="1" x14ac:dyDescent="0.3">
      <c r="I54" s="2" t="s">
        <v>25</v>
      </c>
      <c r="J54" s="3" t="s">
        <v>26</v>
      </c>
      <c r="K54" s="31" t="s">
        <v>27</v>
      </c>
      <c r="L54" s="21"/>
      <c r="M54" s="21"/>
      <c r="N54" s="21"/>
      <c r="O54" s="21"/>
      <c r="P54" s="21"/>
    </row>
    <row r="55" spans="2:16" ht="16.05" customHeight="1" x14ac:dyDescent="0.3">
      <c r="I55" s="2" t="s">
        <v>28</v>
      </c>
      <c r="J55" s="4" t="s">
        <v>29</v>
      </c>
      <c r="K55" s="35" t="s">
        <v>30</v>
      </c>
      <c r="L55" s="21"/>
      <c r="M55" s="21"/>
      <c r="N55" s="21"/>
      <c r="O55" s="21"/>
      <c r="P55" s="21"/>
    </row>
    <row r="56" spans="2:16" ht="16.05" customHeight="1" x14ac:dyDescent="0.3">
      <c r="I56" s="2" t="s">
        <v>31</v>
      </c>
      <c r="J56" s="3" t="s">
        <v>32</v>
      </c>
      <c r="K56" s="31" t="s">
        <v>33</v>
      </c>
      <c r="L56" s="21"/>
      <c r="M56" s="21"/>
      <c r="N56" s="21"/>
      <c r="O56" s="21"/>
      <c r="P56" s="21"/>
    </row>
    <row r="57" spans="2:16" ht="16.05" customHeight="1" x14ac:dyDescent="0.3">
      <c r="I57" s="2" t="s">
        <v>34</v>
      </c>
      <c r="J57" s="4" t="s">
        <v>35</v>
      </c>
      <c r="K57" s="35" t="s">
        <v>36</v>
      </c>
      <c r="L57" s="21"/>
      <c r="M57" s="21"/>
      <c r="N57" s="21"/>
      <c r="O57" s="21"/>
      <c r="P57" s="21"/>
    </row>
    <row r="58" spans="2:16" ht="16.05" customHeight="1" x14ac:dyDescent="0.3">
      <c r="I58" s="2" t="s">
        <v>8</v>
      </c>
      <c r="J58" s="3" t="s">
        <v>37</v>
      </c>
      <c r="K58" s="31" t="s">
        <v>38</v>
      </c>
      <c r="L58" s="21"/>
      <c r="M58" s="21"/>
      <c r="N58" s="21"/>
      <c r="O58" s="21"/>
      <c r="P58" s="21"/>
    </row>
    <row r="59" spans="2:16" ht="16.05" customHeight="1" x14ac:dyDescent="0.3">
      <c r="I59" s="2" t="s">
        <v>39</v>
      </c>
      <c r="J59" s="4" t="s">
        <v>40</v>
      </c>
      <c r="K59" s="35" t="s">
        <v>41</v>
      </c>
      <c r="L59" s="21"/>
      <c r="M59" s="21"/>
      <c r="N59" s="21"/>
      <c r="O59" s="21"/>
      <c r="P59" s="21"/>
    </row>
    <row r="60" spans="2:16" ht="16.05" customHeight="1" x14ac:dyDescent="0.3">
      <c r="I60" s="2" t="s">
        <v>7</v>
      </c>
      <c r="J60" s="3" t="s">
        <v>42</v>
      </c>
      <c r="K60" s="31" t="s">
        <v>43</v>
      </c>
      <c r="L60" s="21"/>
      <c r="M60" s="21"/>
      <c r="N60" s="21"/>
      <c r="O60" s="21"/>
      <c r="P60" s="21"/>
    </row>
    <row r="61" spans="2:16" ht="16.05" customHeight="1" x14ac:dyDescent="0.3">
      <c r="I61" s="2" t="s">
        <v>44</v>
      </c>
      <c r="J61" s="4" t="s">
        <v>45</v>
      </c>
      <c r="K61" s="35" t="s">
        <v>46</v>
      </c>
      <c r="L61" s="21"/>
      <c r="M61" s="21"/>
      <c r="N61" s="21"/>
      <c r="O61" s="21"/>
      <c r="P61" s="21"/>
    </row>
    <row r="62" spans="2:16" ht="16.05" customHeight="1" x14ac:dyDescent="0.3"/>
    <row r="63" spans="2:16" ht="16.05" customHeight="1" x14ac:dyDescent="0.3"/>
    <row r="64" spans="2:16" ht="16.05" customHeight="1" x14ac:dyDescent="0.3"/>
    <row r="65" spans="1:17" ht="16.05" customHeight="1" x14ac:dyDescent="0.3"/>
    <row r="66" spans="1:17" ht="16.05" customHeight="1" x14ac:dyDescent="0.3"/>
    <row r="67" spans="1:17" ht="16.05" customHeight="1" x14ac:dyDescent="0.3"/>
    <row r="68" spans="1:17" ht="16.05" customHeight="1" x14ac:dyDescent="0.3"/>
    <row r="69" spans="1:17" ht="7.95" customHeight="1" x14ac:dyDescent="0.3"/>
    <row r="70" spans="1:17" ht="19.95" customHeight="1" x14ac:dyDescent="0.3">
      <c r="A70" s="1"/>
      <c r="B70" s="43" t="s">
        <v>47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1"/>
    </row>
    <row r="71" spans="1:17" ht="18" customHeight="1" x14ac:dyDescent="0.3"/>
    <row r="72" spans="1:17" ht="18" customHeight="1" x14ac:dyDescent="0.3"/>
    <row r="73" spans="1:17" ht="18" customHeight="1" x14ac:dyDescent="0.3"/>
    <row r="74" spans="1:17" ht="18" customHeight="1" x14ac:dyDescent="0.3"/>
    <row r="75" spans="1:17" ht="18" customHeight="1" x14ac:dyDescent="0.3"/>
    <row r="76" spans="1:17" ht="18" customHeight="1" x14ac:dyDescent="0.3"/>
    <row r="77" spans="1:17" ht="18" customHeight="1" x14ac:dyDescent="0.3"/>
    <row r="78" spans="1:17" ht="18" customHeight="1" x14ac:dyDescent="0.3"/>
    <row r="79" spans="1:17" ht="18" customHeight="1" x14ac:dyDescent="0.3"/>
  </sheetData>
  <mergeCells count="54">
    <mergeCell ref="K60:P60"/>
    <mergeCell ref="N8:O9"/>
    <mergeCell ref="K61:P61"/>
    <mergeCell ref="I16:P16"/>
    <mergeCell ref="B70:P70"/>
    <mergeCell ref="B16:H16"/>
    <mergeCell ref="D10:E11"/>
    <mergeCell ref="I53:P53"/>
    <mergeCell ref="B13:C13"/>
    <mergeCell ref="K57:P57"/>
    <mergeCell ref="F10:G11"/>
    <mergeCell ref="H10:I11"/>
    <mergeCell ref="J10:K11"/>
    <mergeCell ref="F13:G13"/>
    <mergeCell ref="H13:I13"/>
    <mergeCell ref="N13:O13"/>
    <mergeCell ref="D12:E12"/>
    <mergeCell ref="H12:I12"/>
    <mergeCell ref="K59:P59"/>
    <mergeCell ref="D8:E9"/>
    <mergeCell ref="F12:G12"/>
    <mergeCell ref="L12:M12"/>
    <mergeCell ref="N12:O12"/>
    <mergeCell ref="D13:E13"/>
    <mergeCell ref="H8:I9"/>
    <mergeCell ref="J8:K9"/>
    <mergeCell ref="J12:K12"/>
    <mergeCell ref="B53:H53"/>
    <mergeCell ref="K54:P54"/>
    <mergeCell ref="K55:P55"/>
    <mergeCell ref="B34:H34"/>
    <mergeCell ref="L8:M9"/>
    <mergeCell ref="K56:P56"/>
    <mergeCell ref="J13:K13"/>
    <mergeCell ref="L13:M13"/>
    <mergeCell ref="K58:P58"/>
    <mergeCell ref="F7:G7"/>
    <mergeCell ref="H7:I7"/>
    <mergeCell ref="J7:K7"/>
    <mergeCell ref="F8:G9"/>
    <mergeCell ref="I34:P34"/>
    <mergeCell ref="B2:P2"/>
    <mergeCell ref="B7:C7"/>
    <mergeCell ref="L7:M7"/>
    <mergeCell ref="N7:O7"/>
    <mergeCell ref="L10:M11"/>
    <mergeCell ref="B10:C11"/>
    <mergeCell ref="N10:O11"/>
    <mergeCell ref="B12:C12"/>
    <mergeCell ref="B4:H4"/>
    <mergeCell ref="D7:E7"/>
    <mergeCell ref="B8:C9"/>
    <mergeCell ref="I4:P4"/>
    <mergeCell ref="B3:P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3"/>
  <sheetViews>
    <sheetView showGridLines="0" workbookViewId="0"/>
  </sheetViews>
  <sheetFormatPr defaultRowHeight="14.4" x14ac:dyDescent="0.3"/>
  <sheetData>
    <row r="1" spans="1:33" x14ac:dyDescent="0.3">
      <c r="A1" s="5" t="s">
        <v>48</v>
      </c>
      <c r="B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K1" s="6" t="s">
        <v>56</v>
      </c>
      <c r="L1" s="6" t="s">
        <v>51</v>
      </c>
      <c r="M1" s="6" t="s">
        <v>52</v>
      </c>
      <c r="N1" s="6" t="s">
        <v>53</v>
      </c>
      <c r="P1" s="7" t="s">
        <v>57</v>
      </c>
      <c r="Q1" s="7" t="s">
        <v>51</v>
      </c>
      <c r="R1" s="7" t="s">
        <v>52</v>
      </c>
      <c r="S1" s="7" t="s">
        <v>54</v>
      </c>
      <c r="T1" s="7" t="s">
        <v>55</v>
      </c>
      <c r="U1" s="7" t="s">
        <v>53</v>
      </c>
      <c r="W1" s="8" t="s">
        <v>58</v>
      </c>
      <c r="X1" s="8" t="s">
        <v>51</v>
      </c>
      <c r="Y1" s="8" t="s">
        <v>52</v>
      </c>
      <c r="Z1" s="8" t="s">
        <v>53</v>
      </c>
      <c r="AB1" s="9" t="s">
        <v>59</v>
      </c>
      <c r="AC1" s="9" t="s">
        <v>51</v>
      </c>
      <c r="AD1" s="9" t="s">
        <v>52</v>
      </c>
      <c r="AE1" s="9" t="s">
        <v>54</v>
      </c>
      <c r="AF1" s="9" t="s">
        <v>55</v>
      </c>
      <c r="AG1" s="9" t="s">
        <v>53</v>
      </c>
    </row>
    <row r="2" spans="1:33" x14ac:dyDescent="0.3">
      <c r="A2" t="s">
        <v>52</v>
      </c>
      <c r="B2">
        <v>819991</v>
      </c>
      <c r="D2" t="s">
        <v>60</v>
      </c>
      <c r="E2">
        <v>100936</v>
      </c>
      <c r="F2">
        <v>78694</v>
      </c>
      <c r="G2" s="10">
        <v>0.16358555180406631</v>
      </c>
      <c r="H2">
        <v>7385</v>
      </c>
      <c r="I2">
        <v>14857</v>
      </c>
      <c r="K2" t="s">
        <v>61</v>
      </c>
      <c r="L2">
        <v>239605</v>
      </c>
      <c r="M2">
        <v>187436</v>
      </c>
      <c r="N2" s="10">
        <v>0.17224670233668329</v>
      </c>
      <c r="P2" t="s">
        <v>62</v>
      </c>
      <c r="Q2">
        <v>295774</v>
      </c>
      <c r="R2">
        <v>232785</v>
      </c>
      <c r="S2">
        <v>21636</v>
      </c>
      <c r="T2">
        <v>41353</v>
      </c>
      <c r="U2" s="10">
        <v>0.15353197277249581</v>
      </c>
      <c r="W2" t="s">
        <v>63</v>
      </c>
      <c r="X2">
        <v>219430</v>
      </c>
      <c r="Y2">
        <v>173468</v>
      </c>
      <c r="Z2" s="10">
        <v>0.136874940548697</v>
      </c>
      <c r="AB2" t="s">
        <v>64</v>
      </c>
      <c r="AC2">
        <v>305242</v>
      </c>
      <c r="AD2">
        <v>242761</v>
      </c>
      <c r="AE2">
        <v>23300</v>
      </c>
      <c r="AF2">
        <v>39181</v>
      </c>
      <c r="AG2" s="10">
        <v>0.1219728995613255</v>
      </c>
    </row>
    <row r="3" spans="1:33" x14ac:dyDescent="0.3">
      <c r="A3" t="s">
        <v>65</v>
      </c>
      <c r="B3">
        <v>74851</v>
      </c>
      <c r="D3" t="s">
        <v>66</v>
      </c>
      <c r="E3">
        <v>109559</v>
      </c>
      <c r="F3">
        <v>90017</v>
      </c>
      <c r="G3" s="10">
        <v>0.13411851247994599</v>
      </c>
      <c r="H3">
        <v>8682</v>
      </c>
      <c r="I3">
        <v>10860</v>
      </c>
      <c r="K3" t="s">
        <v>67</v>
      </c>
      <c r="L3">
        <v>227957</v>
      </c>
      <c r="M3">
        <v>175801</v>
      </c>
      <c r="N3" s="10">
        <v>0.15121442633703719</v>
      </c>
      <c r="P3" t="s">
        <v>68</v>
      </c>
      <c r="Q3">
        <v>265044</v>
      </c>
      <c r="R3">
        <v>212431</v>
      </c>
      <c r="S3">
        <v>18692</v>
      </c>
      <c r="T3">
        <v>33921</v>
      </c>
      <c r="U3" s="10">
        <v>0.13707959493379679</v>
      </c>
      <c r="W3" t="s">
        <v>69</v>
      </c>
      <c r="X3">
        <v>202978</v>
      </c>
      <c r="Y3">
        <v>161999</v>
      </c>
      <c r="Z3" s="10">
        <v>0.14814919934149989</v>
      </c>
      <c r="AB3" t="s">
        <v>70</v>
      </c>
      <c r="AC3">
        <v>263579</v>
      </c>
      <c r="AD3">
        <v>204284</v>
      </c>
      <c r="AE3">
        <v>17851</v>
      </c>
      <c r="AF3">
        <v>41444</v>
      </c>
      <c r="AG3" s="10">
        <v>0.19329257693923491</v>
      </c>
    </row>
    <row r="4" spans="1:33" x14ac:dyDescent="0.3">
      <c r="A4" t="s">
        <v>71</v>
      </c>
      <c r="B4">
        <v>142925</v>
      </c>
      <c r="D4" t="s">
        <v>72</v>
      </c>
      <c r="E4">
        <v>95837</v>
      </c>
      <c r="F4">
        <v>75315</v>
      </c>
      <c r="G4" s="10">
        <v>0.1318949998098648</v>
      </c>
      <c r="H4">
        <v>7519</v>
      </c>
      <c r="I4">
        <v>13003</v>
      </c>
      <c r="K4" t="s">
        <v>73</v>
      </c>
      <c r="L4">
        <v>210680</v>
      </c>
      <c r="M4">
        <v>170000</v>
      </c>
      <c r="N4" s="10">
        <v>0.1422151841898085</v>
      </c>
      <c r="P4" t="s">
        <v>74</v>
      </c>
      <c r="Q4">
        <v>256339</v>
      </c>
      <c r="R4">
        <v>198666</v>
      </c>
      <c r="S4">
        <v>18550</v>
      </c>
      <c r="T4">
        <v>39123</v>
      </c>
      <c r="U4" s="10">
        <v>0.14444571342512219</v>
      </c>
      <c r="W4" t="s">
        <v>75</v>
      </c>
      <c r="X4">
        <v>162466</v>
      </c>
      <c r="Y4">
        <v>127945</v>
      </c>
      <c r="Z4" s="10">
        <v>0.15615682164328951</v>
      </c>
      <c r="AB4" t="s">
        <v>76</v>
      </c>
      <c r="AC4">
        <v>256005</v>
      </c>
      <c r="AD4">
        <v>201397</v>
      </c>
      <c r="AE4">
        <v>20880</v>
      </c>
      <c r="AF4">
        <v>33728</v>
      </c>
      <c r="AG4" s="10">
        <v>0.14368407434207889</v>
      </c>
    </row>
    <row r="5" spans="1:33" x14ac:dyDescent="0.3">
      <c r="A5" t="s">
        <v>51</v>
      </c>
      <c r="B5">
        <v>1037767</v>
      </c>
      <c r="D5" t="s">
        <v>77</v>
      </c>
      <c r="E5">
        <v>50228</v>
      </c>
      <c r="F5">
        <v>39466</v>
      </c>
      <c r="G5" s="10">
        <v>0.12967079393925871</v>
      </c>
      <c r="H5">
        <v>3450</v>
      </c>
      <c r="I5">
        <v>7312</v>
      </c>
      <c r="K5" t="s">
        <v>78</v>
      </c>
      <c r="L5">
        <v>184397</v>
      </c>
      <c r="M5">
        <v>146000</v>
      </c>
      <c r="N5" s="10">
        <v>0.13871112390953169</v>
      </c>
      <c r="P5" t="s">
        <v>79</v>
      </c>
      <c r="Q5">
        <v>220610</v>
      </c>
      <c r="R5">
        <v>176109</v>
      </c>
      <c r="S5">
        <v>15973</v>
      </c>
      <c r="T5">
        <v>28528</v>
      </c>
      <c r="U5" s="10">
        <v>0.15828607786639559</v>
      </c>
      <c r="W5" t="s">
        <v>80</v>
      </c>
      <c r="X5">
        <v>160550</v>
      </c>
      <c r="Y5">
        <v>124488</v>
      </c>
      <c r="Z5" s="10">
        <v>0.18425775384163351</v>
      </c>
      <c r="AB5" t="s">
        <v>81</v>
      </c>
      <c r="AC5">
        <v>212941</v>
      </c>
      <c r="AD5">
        <v>171549</v>
      </c>
      <c r="AE5">
        <v>12820</v>
      </c>
      <c r="AF5">
        <v>28572</v>
      </c>
      <c r="AG5" s="10">
        <v>0.13118493770753811</v>
      </c>
    </row>
    <row r="6" spans="1:33" x14ac:dyDescent="0.3">
      <c r="A6" t="s">
        <v>82</v>
      </c>
      <c r="B6" s="10">
        <v>0.1482827247985285</v>
      </c>
      <c r="D6" t="s">
        <v>83</v>
      </c>
      <c r="E6">
        <v>137691</v>
      </c>
      <c r="F6">
        <v>108706</v>
      </c>
      <c r="G6" s="10">
        <v>0.13223504562639771</v>
      </c>
      <c r="H6">
        <v>8219</v>
      </c>
      <c r="I6">
        <v>20766</v>
      </c>
      <c r="K6" t="s">
        <v>84</v>
      </c>
      <c r="L6">
        <v>175128</v>
      </c>
      <c r="M6">
        <v>140754</v>
      </c>
      <c r="N6" s="10">
        <v>0.13041433603338271</v>
      </c>
      <c r="W6" t="s">
        <v>85</v>
      </c>
      <c r="X6">
        <v>146869</v>
      </c>
      <c r="Y6">
        <v>115595</v>
      </c>
      <c r="Z6" s="10">
        <v>0.14814844474464281</v>
      </c>
    </row>
    <row r="7" spans="1:33" x14ac:dyDescent="0.3">
      <c r="A7" t="s">
        <v>86</v>
      </c>
      <c r="B7">
        <v>300</v>
      </c>
      <c r="D7" t="s">
        <v>87</v>
      </c>
      <c r="E7">
        <v>97033</v>
      </c>
      <c r="F7">
        <v>79366</v>
      </c>
      <c r="G7" s="10">
        <v>0.1387722928107562</v>
      </c>
      <c r="H7">
        <v>7141</v>
      </c>
      <c r="I7">
        <v>10526</v>
      </c>
      <c r="W7" t="s">
        <v>88</v>
      </c>
      <c r="X7">
        <v>145474</v>
      </c>
      <c r="Y7">
        <v>116496</v>
      </c>
      <c r="Z7" s="10">
        <v>0.11750673823506561</v>
      </c>
    </row>
    <row r="8" spans="1:33" x14ac:dyDescent="0.3">
      <c r="A8" t="s">
        <v>89</v>
      </c>
      <c r="B8">
        <v>4</v>
      </c>
      <c r="D8" t="s">
        <v>90</v>
      </c>
      <c r="E8">
        <v>70955</v>
      </c>
      <c r="F8">
        <v>53263</v>
      </c>
      <c r="G8" s="10">
        <v>0.158431013538326</v>
      </c>
      <c r="H8">
        <v>5514</v>
      </c>
      <c r="I8">
        <v>12178</v>
      </c>
    </row>
    <row r="9" spans="1:33" x14ac:dyDescent="0.3">
      <c r="A9" t="s">
        <v>91</v>
      </c>
      <c r="B9">
        <v>4</v>
      </c>
      <c r="D9" t="s">
        <v>92</v>
      </c>
      <c r="E9">
        <v>72362</v>
      </c>
      <c r="F9">
        <v>57790</v>
      </c>
      <c r="G9" s="10">
        <v>0.1793602322596527</v>
      </c>
      <c r="H9">
        <v>4131</v>
      </c>
      <c r="I9">
        <v>10441</v>
      </c>
    </row>
    <row r="10" spans="1:33" x14ac:dyDescent="0.3">
      <c r="D10" t="s">
        <v>93</v>
      </c>
      <c r="E10">
        <v>69940</v>
      </c>
      <c r="F10">
        <v>53995</v>
      </c>
      <c r="G10" s="10">
        <v>0.17600976421755421</v>
      </c>
      <c r="H10">
        <v>5035</v>
      </c>
      <c r="I10">
        <v>10910</v>
      </c>
    </row>
    <row r="11" spans="1:33" x14ac:dyDescent="0.3">
      <c r="D11" t="s">
        <v>94</v>
      </c>
      <c r="E11">
        <v>106020</v>
      </c>
      <c r="F11">
        <v>80561</v>
      </c>
      <c r="G11" s="10">
        <v>0.121210375273543</v>
      </c>
      <c r="H11">
        <v>9908</v>
      </c>
      <c r="I11">
        <v>15551</v>
      </c>
    </row>
    <row r="12" spans="1:33" x14ac:dyDescent="0.3">
      <c r="D12" t="s">
        <v>95</v>
      </c>
      <c r="E12">
        <v>92263</v>
      </c>
      <c r="F12">
        <v>74428</v>
      </c>
      <c r="G12" s="10">
        <v>0.1987161574161152</v>
      </c>
      <c r="H12">
        <v>6099</v>
      </c>
      <c r="I12">
        <v>11736</v>
      </c>
    </row>
    <row r="13" spans="1:33" x14ac:dyDescent="0.3">
      <c r="D13" t="s">
        <v>96</v>
      </c>
      <c r="E13">
        <v>34943</v>
      </c>
      <c r="F13">
        <v>28390</v>
      </c>
      <c r="G13" s="10">
        <v>0.1172377427939041</v>
      </c>
      <c r="H13">
        <v>1768</v>
      </c>
      <c r="I13">
        <v>4785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6E7A"/>
  </sheetPr>
  <dimension ref="A1:K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4" width="14" customWidth="1"/>
    <col min="5" max="6" width="10" customWidth="1"/>
    <col min="7" max="7" width="12" customWidth="1"/>
    <col min="8" max="9" width="14" customWidth="1"/>
    <col min="10" max="10" width="18" customWidth="1"/>
    <col min="11" max="11" width="20" customWidth="1"/>
  </cols>
  <sheetData>
    <row r="1" spans="1:11" ht="22.05" customHeight="1" x14ac:dyDescent="0.3">
      <c r="A1" s="11" t="s">
        <v>97</v>
      </c>
      <c r="B1" s="11" t="s">
        <v>59</v>
      </c>
      <c r="C1" s="11" t="s">
        <v>98</v>
      </c>
      <c r="D1" s="11" t="s">
        <v>58</v>
      </c>
      <c r="E1" s="11" t="s">
        <v>99</v>
      </c>
      <c r="F1" s="11" t="s">
        <v>55</v>
      </c>
      <c r="G1" s="11" t="s">
        <v>54</v>
      </c>
      <c r="H1" s="11" t="s">
        <v>100</v>
      </c>
      <c r="I1" s="11" t="s">
        <v>101</v>
      </c>
      <c r="J1" s="11" t="s">
        <v>56</v>
      </c>
      <c r="K1" s="11" t="s">
        <v>57</v>
      </c>
    </row>
    <row r="2" spans="1:11" x14ac:dyDescent="0.3">
      <c r="A2" s="12" t="s">
        <v>102</v>
      </c>
      <c r="B2" s="12" t="s">
        <v>76</v>
      </c>
      <c r="C2" s="12" t="s">
        <v>103</v>
      </c>
      <c r="D2" s="12" t="s">
        <v>75</v>
      </c>
      <c r="E2" s="12">
        <v>1461</v>
      </c>
      <c r="F2" s="12">
        <v>184</v>
      </c>
      <c r="G2" s="12">
        <v>344</v>
      </c>
      <c r="H2" s="12">
        <v>1989</v>
      </c>
      <c r="I2" s="13">
        <v>9.0759753593429152E-2</v>
      </c>
      <c r="J2" s="12" t="s">
        <v>67</v>
      </c>
      <c r="K2" s="12" t="s">
        <v>68</v>
      </c>
    </row>
    <row r="3" spans="1:11" x14ac:dyDescent="0.3">
      <c r="A3" s="14" t="s">
        <v>104</v>
      </c>
      <c r="B3" s="14" t="s">
        <v>76</v>
      </c>
      <c r="C3" s="14" t="s">
        <v>105</v>
      </c>
      <c r="D3" s="14" t="s">
        <v>88</v>
      </c>
      <c r="E3" s="14">
        <v>4054</v>
      </c>
      <c r="F3" s="14">
        <v>389</v>
      </c>
      <c r="G3" s="14">
        <v>493</v>
      </c>
      <c r="H3" s="14">
        <v>4936</v>
      </c>
      <c r="I3" s="15">
        <v>7.6097681302417369E-2</v>
      </c>
      <c r="J3" s="14" t="s">
        <v>78</v>
      </c>
      <c r="K3" s="14" t="s">
        <v>62</v>
      </c>
    </row>
    <row r="4" spans="1:11" x14ac:dyDescent="0.3">
      <c r="A4" s="12" t="s">
        <v>106</v>
      </c>
      <c r="B4" s="12" t="s">
        <v>81</v>
      </c>
      <c r="C4" s="12" t="s">
        <v>107</v>
      </c>
      <c r="D4" s="12" t="s">
        <v>75</v>
      </c>
      <c r="E4" s="12">
        <v>2795</v>
      </c>
      <c r="F4" s="12">
        <v>105</v>
      </c>
      <c r="G4" s="12">
        <v>49</v>
      </c>
      <c r="H4" s="12">
        <v>2949</v>
      </c>
      <c r="I4" s="13">
        <v>5.5531494209584788E-2</v>
      </c>
      <c r="J4" s="12" t="s">
        <v>78</v>
      </c>
      <c r="K4" s="12" t="s">
        <v>68</v>
      </c>
    </row>
    <row r="5" spans="1:11" x14ac:dyDescent="0.3">
      <c r="A5" s="14" t="s">
        <v>108</v>
      </c>
      <c r="B5" s="14" t="s">
        <v>70</v>
      </c>
      <c r="C5" s="14" t="s">
        <v>109</v>
      </c>
      <c r="D5" s="14" t="s">
        <v>80</v>
      </c>
      <c r="E5" s="14">
        <v>2404</v>
      </c>
      <c r="F5" s="14">
        <v>363</v>
      </c>
      <c r="G5" s="14">
        <v>138</v>
      </c>
      <c r="H5" s="14">
        <v>2905</v>
      </c>
      <c r="I5" s="15">
        <v>0.1510503327787022</v>
      </c>
      <c r="J5" s="14" t="s">
        <v>67</v>
      </c>
      <c r="K5" s="14" t="s">
        <v>68</v>
      </c>
    </row>
    <row r="6" spans="1:11" x14ac:dyDescent="0.3">
      <c r="A6" s="12" t="s">
        <v>110</v>
      </c>
      <c r="B6" s="12" t="s">
        <v>81</v>
      </c>
      <c r="C6" s="12" t="s">
        <v>111</v>
      </c>
      <c r="D6" s="12" t="s">
        <v>75</v>
      </c>
      <c r="E6" s="12">
        <v>3557</v>
      </c>
      <c r="F6" s="12">
        <v>687</v>
      </c>
      <c r="G6" s="12">
        <v>424</v>
      </c>
      <c r="H6" s="12">
        <v>4668</v>
      </c>
      <c r="I6" s="13">
        <v>6.5617093055946027E-2</v>
      </c>
      <c r="J6" s="12" t="s">
        <v>61</v>
      </c>
      <c r="K6" s="12" t="s">
        <v>74</v>
      </c>
    </row>
    <row r="7" spans="1:11" x14ac:dyDescent="0.3">
      <c r="A7" s="14" t="s">
        <v>112</v>
      </c>
      <c r="B7" s="14" t="s">
        <v>64</v>
      </c>
      <c r="C7" s="14" t="s">
        <v>113</v>
      </c>
      <c r="D7" s="14" t="s">
        <v>69</v>
      </c>
      <c r="E7" s="14">
        <v>2945</v>
      </c>
      <c r="F7" s="14">
        <v>930</v>
      </c>
      <c r="G7" s="14">
        <v>355</v>
      </c>
      <c r="H7" s="14">
        <v>4230</v>
      </c>
      <c r="I7" s="15">
        <v>0.17954159592529709</v>
      </c>
      <c r="J7" s="14" t="s">
        <v>73</v>
      </c>
      <c r="K7" s="14" t="s">
        <v>62</v>
      </c>
    </row>
    <row r="8" spans="1:11" x14ac:dyDescent="0.3">
      <c r="A8" s="12" t="s">
        <v>114</v>
      </c>
      <c r="B8" s="12" t="s">
        <v>76</v>
      </c>
      <c r="C8" s="12" t="s">
        <v>115</v>
      </c>
      <c r="D8" s="12" t="s">
        <v>69</v>
      </c>
      <c r="E8" s="12">
        <v>3860</v>
      </c>
      <c r="F8" s="12">
        <v>201</v>
      </c>
      <c r="G8" s="12">
        <v>279</v>
      </c>
      <c r="H8" s="12">
        <v>4340</v>
      </c>
      <c r="I8" s="13">
        <v>7.0272020725388601E-2</v>
      </c>
      <c r="J8" s="12" t="s">
        <v>73</v>
      </c>
      <c r="K8" s="12" t="s">
        <v>74</v>
      </c>
    </row>
    <row r="9" spans="1:11" x14ac:dyDescent="0.3">
      <c r="A9" s="14" t="s">
        <v>116</v>
      </c>
      <c r="B9" s="14" t="s">
        <v>81</v>
      </c>
      <c r="C9" s="14" t="s">
        <v>117</v>
      </c>
      <c r="D9" s="14" t="s">
        <v>63</v>
      </c>
      <c r="E9" s="14">
        <v>3929</v>
      </c>
      <c r="F9" s="14">
        <v>262</v>
      </c>
      <c r="G9" s="14">
        <v>278</v>
      </c>
      <c r="H9" s="14">
        <v>4469</v>
      </c>
      <c r="I9" s="15">
        <v>0.1034035956408061</v>
      </c>
      <c r="J9" s="14" t="s">
        <v>78</v>
      </c>
      <c r="K9" s="14" t="s">
        <v>74</v>
      </c>
    </row>
    <row r="10" spans="1:11" x14ac:dyDescent="0.3">
      <c r="A10" s="12" t="s">
        <v>118</v>
      </c>
      <c r="B10" s="12" t="s">
        <v>64</v>
      </c>
      <c r="C10" s="12" t="s">
        <v>119</v>
      </c>
      <c r="D10" s="12" t="s">
        <v>88</v>
      </c>
      <c r="E10" s="12">
        <v>3784</v>
      </c>
      <c r="F10" s="12">
        <v>808</v>
      </c>
      <c r="G10" s="12">
        <v>404</v>
      </c>
      <c r="H10" s="12">
        <v>4996</v>
      </c>
      <c r="I10" s="13">
        <v>8.8019732205778717E-2</v>
      </c>
      <c r="J10" s="12" t="s">
        <v>78</v>
      </c>
      <c r="K10" s="12" t="s">
        <v>74</v>
      </c>
    </row>
    <row r="11" spans="1:11" x14ac:dyDescent="0.3">
      <c r="A11" s="14" t="s">
        <v>120</v>
      </c>
      <c r="B11" s="14" t="s">
        <v>64</v>
      </c>
      <c r="C11" s="14" t="s">
        <v>121</v>
      </c>
      <c r="D11" s="14" t="s">
        <v>63</v>
      </c>
      <c r="E11" s="14">
        <v>4241</v>
      </c>
      <c r="F11" s="14">
        <v>902</v>
      </c>
      <c r="G11" s="14">
        <v>47</v>
      </c>
      <c r="H11" s="14">
        <v>5190</v>
      </c>
      <c r="I11" s="15">
        <v>7.198635172059864E-2</v>
      </c>
      <c r="J11" s="14" t="s">
        <v>73</v>
      </c>
      <c r="K11" s="14" t="s">
        <v>79</v>
      </c>
    </row>
    <row r="12" spans="1:11" x14ac:dyDescent="0.3">
      <c r="A12" s="12" t="s">
        <v>122</v>
      </c>
      <c r="B12" s="12" t="s">
        <v>70</v>
      </c>
      <c r="C12" s="12" t="s">
        <v>123</v>
      </c>
      <c r="D12" s="12" t="s">
        <v>80</v>
      </c>
      <c r="E12" s="12">
        <v>1792</v>
      </c>
      <c r="F12" s="12">
        <v>614</v>
      </c>
      <c r="G12" s="12">
        <v>497</v>
      </c>
      <c r="H12" s="12">
        <v>2903</v>
      </c>
      <c r="I12" s="13">
        <v>0.1157126913265306</v>
      </c>
      <c r="J12" s="12" t="s">
        <v>61</v>
      </c>
      <c r="K12" s="12" t="s">
        <v>68</v>
      </c>
    </row>
    <row r="13" spans="1:11" x14ac:dyDescent="0.3">
      <c r="A13" s="14" t="s">
        <v>124</v>
      </c>
      <c r="B13" s="14" t="s">
        <v>64</v>
      </c>
      <c r="C13" s="14" t="s">
        <v>125</v>
      </c>
      <c r="D13" s="14" t="s">
        <v>75</v>
      </c>
      <c r="E13" s="14">
        <v>1946</v>
      </c>
      <c r="F13" s="14">
        <v>686</v>
      </c>
      <c r="G13" s="14">
        <v>377</v>
      </c>
      <c r="H13" s="14">
        <v>3009</v>
      </c>
      <c r="I13" s="15">
        <v>0.12885405960945531</v>
      </c>
      <c r="J13" s="14" t="s">
        <v>61</v>
      </c>
      <c r="K13" s="14" t="s">
        <v>74</v>
      </c>
    </row>
    <row r="14" spans="1:11" x14ac:dyDescent="0.3">
      <c r="A14" s="12" t="s">
        <v>126</v>
      </c>
      <c r="B14" s="12" t="s">
        <v>81</v>
      </c>
      <c r="C14" s="12" t="s">
        <v>127</v>
      </c>
      <c r="D14" s="12" t="s">
        <v>69</v>
      </c>
      <c r="E14" s="12">
        <v>1171</v>
      </c>
      <c r="F14" s="12">
        <v>286</v>
      </c>
      <c r="G14" s="12">
        <v>231</v>
      </c>
      <c r="H14" s="12">
        <v>1688</v>
      </c>
      <c r="I14" s="13">
        <v>7.5868578363072495E-2</v>
      </c>
      <c r="J14" s="12" t="s">
        <v>78</v>
      </c>
      <c r="K14" s="12" t="s">
        <v>79</v>
      </c>
    </row>
    <row r="15" spans="1:11" x14ac:dyDescent="0.3">
      <c r="A15" s="14" t="s">
        <v>128</v>
      </c>
      <c r="B15" s="14" t="s">
        <v>64</v>
      </c>
      <c r="C15" s="14" t="s">
        <v>129</v>
      </c>
      <c r="D15" s="14" t="s">
        <v>80</v>
      </c>
      <c r="E15" s="14">
        <v>4242</v>
      </c>
      <c r="F15" s="14">
        <v>555</v>
      </c>
      <c r="G15" s="14">
        <v>131</v>
      </c>
      <c r="H15" s="14">
        <v>4928</v>
      </c>
      <c r="I15" s="15">
        <v>0.1452145214521452</v>
      </c>
      <c r="J15" s="14" t="s">
        <v>67</v>
      </c>
      <c r="K15" s="14" t="s">
        <v>74</v>
      </c>
    </row>
    <row r="16" spans="1:11" x14ac:dyDescent="0.3">
      <c r="A16" s="12" t="s">
        <v>130</v>
      </c>
      <c r="B16" s="12" t="s">
        <v>64</v>
      </c>
      <c r="C16" s="12" t="s">
        <v>131</v>
      </c>
      <c r="D16" s="12" t="s">
        <v>85</v>
      </c>
      <c r="E16" s="12">
        <v>3888</v>
      </c>
      <c r="F16" s="12">
        <v>604</v>
      </c>
      <c r="G16" s="12">
        <v>128</v>
      </c>
      <c r="H16" s="12">
        <v>4620</v>
      </c>
      <c r="I16" s="13">
        <v>5.941358024691358E-2</v>
      </c>
      <c r="J16" s="12" t="s">
        <v>78</v>
      </c>
      <c r="K16" s="12" t="s">
        <v>68</v>
      </c>
    </row>
    <row r="17" spans="1:11" x14ac:dyDescent="0.3">
      <c r="A17" s="14" t="s">
        <v>132</v>
      </c>
      <c r="B17" s="14" t="s">
        <v>64</v>
      </c>
      <c r="C17" s="14" t="s">
        <v>133</v>
      </c>
      <c r="D17" s="14" t="s">
        <v>88</v>
      </c>
      <c r="E17" s="14">
        <v>3452</v>
      </c>
      <c r="F17" s="14">
        <v>377</v>
      </c>
      <c r="G17" s="14">
        <v>360</v>
      </c>
      <c r="H17" s="14">
        <v>4189</v>
      </c>
      <c r="I17" s="15">
        <v>7.5843713789107758E-2</v>
      </c>
      <c r="J17" s="14" t="s">
        <v>67</v>
      </c>
      <c r="K17" s="14" t="s">
        <v>74</v>
      </c>
    </row>
    <row r="18" spans="1:11" x14ac:dyDescent="0.3">
      <c r="A18" s="12" t="s">
        <v>134</v>
      </c>
      <c r="B18" s="12" t="s">
        <v>64</v>
      </c>
      <c r="C18" s="12" t="s">
        <v>135</v>
      </c>
      <c r="D18" s="12" t="s">
        <v>88</v>
      </c>
      <c r="E18" s="12">
        <v>4441</v>
      </c>
      <c r="F18" s="12">
        <v>511</v>
      </c>
      <c r="G18" s="12">
        <v>70</v>
      </c>
      <c r="H18" s="12">
        <v>5022</v>
      </c>
      <c r="I18" s="13">
        <v>9.4235532537716729E-2</v>
      </c>
      <c r="J18" s="12" t="s">
        <v>84</v>
      </c>
      <c r="K18" s="12" t="s">
        <v>74</v>
      </c>
    </row>
    <row r="19" spans="1:11" x14ac:dyDescent="0.3">
      <c r="A19" s="14" t="s">
        <v>136</v>
      </c>
      <c r="B19" s="14" t="s">
        <v>70</v>
      </c>
      <c r="C19" s="14" t="s">
        <v>137</v>
      </c>
      <c r="D19" s="14" t="s">
        <v>75</v>
      </c>
      <c r="E19" s="14">
        <v>3000</v>
      </c>
      <c r="F19" s="14">
        <v>382</v>
      </c>
      <c r="G19" s="14">
        <v>325</v>
      </c>
      <c r="H19" s="14">
        <v>3707</v>
      </c>
      <c r="I19" s="15">
        <v>0.1029722222222222</v>
      </c>
      <c r="J19" s="14" t="s">
        <v>61</v>
      </c>
      <c r="K19" s="14" t="s">
        <v>62</v>
      </c>
    </row>
    <row r="20" spans="1:11" x14ac:dyDescent="0.3">
      <c r="A20" s="12" t="s">
        <v>138</v>
      </c>
      <c r="B20" s="12" t="s">
        <v>70</v>
      </c>
      <c r="C20" s="12" t="s">
        <v>139</v>
      </c>
      <c r="D20" s="12" t="s">
        <v>85</v>
      </c>
      <c r="E20" s="12">
        <v>1071</v>
      </c>
      <c r="F20" s="12">
        <v>519</v>
      </c>
      <c r="G20" s="12">
        <v>22</v>
      </c>
      <c r="H20" s="12">
        <v>1612</v>
      </c>
      <c r="I20" s="13">
        <v>0.1003423591658886</v>
      </c>
      <c r="J20" s="12" t="s">
        <v>67</v>
      </c>
      <c r="K20" s="12" t="s">
        <v>74</v>
      </c>
    </row>
    <row r="21" spans="1:11" x14ac:dyDescent="0.3">
      <c r="A21" s="14" t="s">
        <v>140</v>
      </c>
      <c r="B21" s="14" t="s">
        <v>70</v>
      </c>
      <c r="C21" s="14" t="s">
        <v>141</v>
      </c>
      <c r="D21" s="14" t="s">
        <v>69</v>
      </c>
      <c r="E21" s="14">
        <v>4054</v>
      </c>
      <c r="F21" s="14">
        <v>488</v>
      </c>
      <c r="G21" s="14">
        <v>373</v>
      </c>
      <c r="H21" s="14">
        <v>4915</v>
      </c>
      <c r="I21" s="15">
        <v>6.3809622724794221E-2</v>
      </c>
      <c r="J21" s="14" t="s">
        <v>78</v>
      </c>
      <c r="K21" s="14" t="s">
        <v>74</v>
      </c>
    </row>
    <row r="22" spans="1:11" x14ac:dyDescent="0.3">
      <c r="A22" s="12" t="s">
        <v>142</v>
      </c>
      <c r="B22" s="12" t="s">
        <v>70</v>
      </c>
      <c r="C22" s="12" t="s">
        <v>143</v>
      </c>
      <c r="D22" s="12" t="s">
        <v>75</v>
      </c>
      <c r="E22" s="12">
        <v>4838</v>
      </c>
      <c r="F22" s="12">
        <v>640</v>
      </c>
      <c r="G22" s="12">
        <v>128</v>
      </c>
      <c r="H22" s="12">
        <v>5606</v>
      </c>
      <c r="I22" s="13">
        <v>7.7249552156538517E-2</v>
      </c>
      <c r="J22" s="12" t="s">
        <v>61</v>
      </c>
      <c r="K22" s="12" t="s">
        <v>74</v>
      </c>
    </row>
    <row r="23" spans="1:11" x14ac:dyDescent="0.3">
      <c r="A23" s="14" t="s">
        <v>144</v>
      </c>
      <c r="B23" s="14" t="s">
        <v>64</v>
      </c>
      <c r="C23" s="14" t="s">
        <v>145</v>
      </c>
      <c r="D23" s="14" t="s">
        <v>88</v>
      </c>
      <c r="E23" s="14">
        <v>1570</v>
      </c>
      <c r="F23" s="14">
        <v>187</v>
      </c>
      <c r="G23" s="14">
        <v>260</v>
      </c>
      <c r="H23" s="14">
        <v>2017</v>
      </c>
      <c r="I23" s="15">
        <v>8.0294585987261149E-2</v>
      </c>
      <c r="J23" s="14" t="s">
        <v>67</v>
      </c>
      <c r="K23" s="14" t="s">
        <v>79</v>
      </c>
    </row>
    <row r="24" spans="1:11" x14ac:dyDescent="0.3">
      <c r="A24" s="12" t="s">
        <v>146</v>
      </c>
      <c r="B24" s="12" t="s">
        <v>64</v>
      </c>
      <c r="C24" s="12" t="s">
        <v>147</v>
      </c>
      <c r="D24" s="12" t="s">
        <v>85</v>
      </c>
      <c r="E24" s="12">
        <v>1606</v>
      </c>
      <c r="F24" s="12">
        <v>547</v>
      </c>
      <c r="G24" s="12">
        <v>316</v>
      </c>
      <c r="H24" s="12">
        <v>2469</v>
      </c>
      <c r="I24" s="13">
        <v>7.6867995018679955E-2</v>
      </c>
      <c r="J24" s="12" t="s">
        <v>67</v>
      </c>
      <c r="K24" s="12" t="s">
        <v>74</v>
      </c>
    </row>
    <row r="25" spans="1:11" x14ac:dyDescent="0.3">
      <c r="A25" s="14" t="s">
        <v>148</v>
      </c>
      <c r="B25" s="14" t="s">
        <v>64</v>
      </c>
      <c r="C25" s="14" t="s">
        <v>149</v>
      </c>
      <c r="D25" s="14" t="s">
        <v>85</v>
      </c>
      <c r="E25" s="14">
        <v>3961</v>
      </c>
      <c r="F25" s="14">
        <v>761</v>
      </c>
      <c r="G25" s="14">
        <v>131</v>
      </c>
      <c r="H25" s="14">
        <v>4853</v>
      </c>
      <c r="I25" s="15">
        <v>7.2070332803659209E-2</v>
      </c>
      <c r="J25" s="14" t="s">
        <v>73</v>
      </c>
      <c r="K25" s="14" t="s">
        <v>62</v>
      </c>
    </row>
    <row r="26" spans="1:11" x14ac:dyDescent="0.3">
      <c r="A26" s="12" t="s">
        <v>150</v>
      </c>
      <c r="B26" s="12" t="s">
        <v>76</v>
      </c>
      <c r="C26" s="12" t="s">
        <v>151</v>
      </c>
      <c r="D26" s="12" t="s">
        <v>69</v>
      </c>
      <c r="E26" s="12">
        <v>3128</v>
      </c>
      <c r="F26" s="12">
        <v>211</v>
      </c>
      <c r="G26" s="12">
        <v>197</v>
      </c>
      <c r="H26" s="12">
        <v>3536</v>
      </c>
      <c r="I26" s="13">
        <v>5.9496567505720833E-2</v>
      </c>
      <c r="J26" s="12" t="s">
        <v>61</v>
      </c>
      <c r="K26" s="12" t="s">
        <v>68</v>
      </c>
    </row>
    <row r="27" spans="1:11" x14ac:dyDescent="0.3">
      <c r="A27" s="14" t="s">
        <v>152</v>
      </c>
      <c r="B27" s="14" t="s">
        <v>81</v>
      </c>
      <c r="C27" s="14" t="s">
        <v>153</v>
      </c>
      <c r="D27" s="14" t="s">
        <v>75</v>
      </c>
      <c r="E27" s="14">
        <v>3009</v>
      </c>
      <c r="F27" s="14">
        <v>413</v>
      </c>
      <c r="G27" s="14">
        <v>358</v>
      </c>
      <c r="H27" s="14">
        <v>3780</v>
      </c>
      <c r="I27" s="15">
        <v>8.9730807577268201E-2</v>
      </c>
      <c r="J27" s="14" t="s">
        <v>67</v>
      </c>
      <c r="K27" s="14" t="s">
        <v>62</v>
      </c>
    </row>
    <row r="28" spans="1:11" x14ac:dyDescent="0.3">
      <c r="A28" s="12" t="s">
        <v>154</v>
      </c>
      <c r="B28" s="12" t="s">
        <v>81</v>
      </c>
      <c r="C28" s="12" t="s">
        <v>155</v>
      </c>
      <c r="D28" s="12" t="s">
        <v>88</v>
      </c>
      <c r="E28" s="12">
        <v>2076</v>
      </c>
      <c r="F28" s="12">
        <v>195</v>
      </c>
      <c r="G28" s="12">
        <v>104</v>
      </c>
      <c r="H28" s="12">
        <v>2375</v>
      </c>
      <c r="I28" s="13">
        <v>7.1501685934489398E-2</v>
      </c>
      <c r="J28" s="12" t="s">
        <v>73</v>
      </c>
      <c r="K28" s="12" t="s">
        <v>79</v>
      </c>
    </row>
    <row r="29" spans="1:11" x14ac:dyDescent="0.3">
      <c r="A29" s="14" t="s">
        <v>156</v>
      </c>
      <c r="B29" s="14" t="s">
        <v>70</v>
      </c>
      <c r="C29" s="14" t="s">
        <v>157</v>
      </c>
      <c r="D29" s="14" t="s">
        <v>85</v>
      </c>
      <c r="E29" s="14">
        <v>432</v>
      </c>
      <c r="F29" s="14">
        <v>624</v>
      </c>
      <c r="G29" s="14">
        <v>123</v>
      </c>
      <c r="H29" s="14">
        <v>1179</v>
      </c>
      <c r="I29" s="15">
        <v>0.17057291666666671</v>
      </c>
      <c r="J29" s="14" t="s">
        <v>67</v>
      </c>
      <c r="K29" s="14" t="s">
        <v>62</v>
      </c>
    </row>
    <row r="30" spans="1:11" x14ac:dyDescent="0.3">
      <c r="A30" s="12" t="s">
        <v>158</v>
      </c>
      <c r="B30" s="12" t="s">
        <v>70</v>
      </c>
      <c r="C30" s="12" t="s">
        <v>159</v>
      </c>
      <c r="D30" s="12" t="s">
        <v>69</v>
      </c>
      <c r="E30" s="12">
        <v>2566</v>
      </c>
      <c r="F30" s="12">
        <v>118</v>
      </c>
      <c r="G30" s="12">
        <v>37</v>
      </c>
      <c r="H30" s="12">
        <v>2721</v>
      </c>
      <c r="I30" s="13">
        <v>0.21208106001558849</v>
      </c>
      <c r="J30" s="12" t="s">
        <v>73</v>
      </c>
      <c r="K30" s="12" t="s">
        <v>74</v>
      </c>
    </row>
    <row r="31" spans="1:11" x14ac:dyDescent="0.3">
      <c r="A31" s="14" t="s">
        <v>160</v>
      </c>
      <c r="B31" s="14" t="s">
        <v>70</v>
      </c>
      <c r="C31" s="14" t="s">
        <v>161</v>
      </c>
      <c r="D31" s="14" t="s">
        <v>85</v>
      </c>
      <c r="E31" s="14">
        <v>3095</v>
      </c>
      <c r="F31" s="14">
        <v>39</v>
      </c>
      <c r="G31" s="14">
        <v>78</v>
      </c>
      <c r="H31" s="14">
        <v>3212</v>
      </c>
      <c r="I31" s="15">
        <v>5.7655717106444078E-2</v>
      </c>
      <c r="J31" s="14" t="s">
        <v>67</v>
      </c>
      <c r="K31" s="14" t="s">
        <v>79</v>
      </c>
    </row>
    <row r="32" spans="1:11" x14ac:dyDescent="0.3">
      <c r="A32" s="12" t="s">
        <v>162</v>
      </c>
      <c r="B32" s="12" t="s">
        <v>70</v>
      </c>
      <c r="C32" s="12" t="s">
        <v>163</v>
      </c>
      <c r="D32" s="12" t="s">
        <v>88</v>
      </c>
      <c r="E32" s="12">
        <v>438</v>
      </c>
      <c r="F32" s="12">
        <v>153</v>
      </c>
      <c r="G32" s="12">
        <v>275</v>
      </c>
      <c r="H32" s="12">
        <v>866</v>
      </c>
      <c r="I32" s="13">
        <v>0.28245270711024129</v>
      </c>
      <c r="J32" s="12" t="s">
        <v>73</v>
      </c>
      <c r="K32" s="12" t="s">
        <v>79</v>
      </c>
    </row>
    <row r="33" spans="1:11" x14ac:dyDescent="0.3">
      <c r="A33" s="14" t="s">
        <v>164</v>
      </c>
      <c r="B33" s="14" t="s">
        <v>76</v>
      </c>
      <c r="C33" s="14" t="s">
        <v>165</v>
      </c>
      <c r="D33" s="14" t="s">
        <v>69</v>
      </c>
      <c r="E33" s="14">
        <v>2278</v>
      </c>
      <c r="F33" s="14">
        <v>10</v>
      </c>
      <c r="G33" s="14">
        <v>321</v>
      </c>
      <c r="H33" s="14">
        <v>2609</v>
      </c>
      <c r="I33" s="15">
        <v>0.19088381621305239</v>
      </c>
      <c r="J33" s="14" t="s">
        <v>73</v>
      </c>
      <c r="K33" s="14" t="s">
        <v>79</v>
      </c>
    </row>
    <row r="34" spans="1:11" x14ac:dyDescent="0.3">
      <c r="A34" s="12" t="s">
        <v>166</v>
      </c>
      <c r="B34" s="12" t="s">
        <v>64</v>
      </c>
      <c r="C34" s="12" t="s">
        <v>167</v>
      </c>
      <c r="D34" s="12" t="s">
        <v>63</v>
      </c>
      <c r="E34" s="12">
        <v>1407</v>
      </c>
      <c r="F34" s="12">
        <v>400</v>
      </c>
      <c r="G34" s="12">
        <v>351</v>
      </c>
      <c r="H34" s="12">
        <v>2158</v>
      </c>
      <c r="I34" s="13">
        <v>0.12781331438047849</v>
      </c>
      <c r="J34" s="12" t="s">
        <v>78</v>
      </c>
      <c r="K34" s="12" t="s">
        <v>74</v>
      </c>
    </row>
    <row r="35" spans="1:11" x14ac:dyDescent="0.3">
      <c r="A35" s="14" t="s">
        <v>168</v>
      </c>
      <c r="B35" s="14" t="s">
        <v>64</v>
      </c>
      <c r="C35" s="14" t="s">
        <v>169</v>
      </c>
      <c r="D35" s="14" t="s">
        <v>88</v>
      </c>
      <c r="E35" s="14">
        <v>1652</v>
      </c>
      <c r="F35" s="14">
        <v>89</v>
      </c>
      <c r="G35" s="14">
        <v>357</v>
      </c>
      <c r="H35" s="14">
        <v>2098</v>
      </c>
      <c r="I35" s="15">
        <v>7.055421038471886E-2</v>
      </c>
      <c r="J35" s="14" t="s">
        <v>73</v>
      </c>
      <c r="K35" s="14" t="s">
        <v>62</v>
      </c>
    </row>
    <row r="36" spans="1:11" x14ac:dyDescent="0.3">
      <c r="A36" s="12" t="s">
        <v>170</v>
      </c>
      <c r="B36" s="12" t="s">
        <v>70</v>
      </c>
      <c r="C36" s="12" t="s">
        <v>171</v>
      </c>
      <c r="D36" s="12" t="s">
        <v>85</v>
      </c>
      <c r="E36" s="12">
        <v>3775</v>
      </c>
      <c r="F36" s="12">
        <v>16</v>
      </c>
      <c r="G36" s="12">
        <v>239</v>
      </c>
      <c r="H36" s="12">
        <v>4030</v>
      </c>
      <c r="I36" s="13">
        <v>0.11861662987490799</v>
      </c>
      <c r="J36" s="12" t="s">
        <v>61</v>
      </c>
      <c r="K36" s="12" t="s">
        <v>74</v>
      </c>
    </row>
    <row r="37" spans="1:11" x14ac:dyDescent="0.3">
      <c r="A37" s="14" t="s">
        <v>172</v>
      </c>
      <c r="B37" s="14" t="s">
        <v>70</v>
      </c>
      <c r="C37" s="14" t="s">
        <v>173</v>
      </c>
      <c r="D37" s="14" t="s">
        <v>80</v>
      </c>
      <c r="E37" s="14">
        <v>4518</v>
      </c>
      <c r="F37" s="14">
        <v>285</v>
      </c>
      <c r="G37" s="14">
        <v>383</v>
      </c>
      <c r="H37" s="14">
        <v>5186</v>
      </c>
      <c r="I37" s="15">
        <v>7.6523535487678915E-2</v>
      </c>
      <c r="J37" s="14" t="s">
        <v>84</v>
      </c>
      <c r="K37" s="14" t="s">
        <v>62</v>
      </c>
    </row>
    <row r="38" spans="1:11" x14ac:dyDescent="0.3">
      <c r="A38" s="12" t="s">
        <v>174</v>
      </c>
      <c r="B38" s="12" t="s">
        <v>64</v>
      </c>
      <c r="C38" s="12" t="s">
        <v>175</v>
      </c>
      <c r="D38" s="12" t="s">
        <v>69</v>
      </c>
      <c r="E38" s="12">
        <v>3024</v>
      </c>
      <c r="F38" s="12">
        <v>925</v>
      </c>
      <c r="G38" s="12">
        <v>350</v>
      </c>
      <c r="H38" s="12">
        <v>4299</v>
      </c>
      <c r="I38" s="13">
        <v>0.177703373015873</v>
      </c>
      <c r="J38" s="12" t="s">
        <v>67</v>
      </c>
      <c r="K38" s="12" t="s">
        <v>74</v>
      </c>
    </row>
    <row r="39" spans="1:11" x14ac:dyDescent="0.3">
      <c r="A39" s="14" t="s">
        <v>176</v>
      </c>
      <c r="B39" s="14" t="s">
        <v>81</v>
      </c>
      <c r="C39" s="14" t="s">
        <v>177</v>
      </c>
      <c r="D39" s="14" t="s">
        <v>75</v>
      </c>
      <c r="E39" s="14">
        <v>3138</v>
      </c>
      <c r="F39" s="14">
        <v>123</v>
      </c>
      <c r="G39" s="14">
        <v>291</v>
      </c>
      <c r="H39" s="14">
        <v>3552</v>
      </c>
      <c r="I39" s="15">
        <v>0.1257701295942214</v>
      </c>
      <c r="J39" s="14" t="s">
        <v>84</v>
      </c>
      <c r="K39" s="14" t="s">
        <v>79</v>
      </c>
    </row>
    <row r="40" spans="1:11" x14ac:dyDescent="0.3">
      <c r="A40" s="12" t="s">
        <v>178</v>
      </c>
      <c r="B40" s="12" t="s">
        <v>64</v>
      </c>
      <c r="C40" s="12" t="s">
        <v>179</v>
      </c>
      <c r="D40" s="12" t="s">
        <v>63</v>
      </c>
      <c r="E40" s="12">
        <v>3564</v>
      </c>
      <c r="F40" s="12">
        <v>629</v>
      </c>
      <c r="G40" s="12">
        <v>177</v>
      </c>
      <c r="H40" s="12">
        <v>4370</v>
      </c>
      <c r="I40" s="13">
        <v>7.2126493695121141E-2</v>
      </c>
      <c r="J40" s="12" t="s">
        <v>84</v>
      </c>
      <c r="K40" s="12" t="s">
        <v>74</v>
      </c>
    </row>
    <row r="41" spans="1:11" x14ac:dyDescent="0.3">
      <c r="A41" s="14" t="s">
        <v>180</v>
      </c>
      <c r="B41" s="14" t="s">
        <v>76</v>
      </c>
      <c r="C41" s="14" t="s">
        <v>181</v>
      </c>
      <c r="D41" s="14" t="s">
        <v>63</v>
      </c>
      <c r="E41" s="14">
        <v>4750</v>
      </c>
      <c r="F41" s="14">
        <v>151</v>
      </c>
      <c r="G41" s="14">
        <v>415</v>
      </c>
      <c r="H41" s="14">
        <v>5316</v>
      </c>
      <c r="I41" s="15">
        <v>0.13989473684210529</v>
      </c>
      <c r="J41" s="14" t="s">
        <v>61</v>
      </c>
      <c r="K41" s="14" t="s">
        <v>62</v>
      </c>
    </row>
    <row r="42" spans="1:11" x14ac:dyDescent="0.3">
      <c r="A42" s="12" t="s">
        <v>182</v>
      </c>
      <c r="B42" s="12" t="s">
        <v>70</v>
      </c>
      <c r="C42" s="12" t="s">
        <v>183</v>
      </c>
      <c r="D42" s="12" t="s">
        <v>75</v>
      </c>
      <c r="E42" s="12">
        <v>456</v>
      </c>
      <c r="F42" s="12">
        <v>629</v>
      </c>
      <c r="G42" s="12">
        <v>428</v>
      </c>
      <c r="H42" s="12">
        <v>1513</v>
      </c>
      <c r="I42" s="13">
        <v>0.1843323586744639</v>
      </c>
      <c r="J42" s="12" t="s">
        <v>67</v>
      </c>
      <c r="K42" s="12" t="s">
        <v>74</v>
      </c>
    </row>
    <row r="43" spans="1:11" x14ac:dyDescent="0.3">
      <c r="A43" s="14" t="s">
        <v>184</v>
      </c>
      <c r="B43" s="14" t="s">
        <v>81</v>
      </c>
      <c r="C43" s="14" t="s">
        <v>185</v>
      </c>
      <c r="D43" s="14" t="s">
        <v>75</v>
      </c>
      <c r="E43" s="14">
        <v>1543</v>
      </c>
      <c r="F43" s="14">
        <v>820</v>
      </c>
      <c r="G43" s="14">
        <v>333</v>
      </c>
      <c r="H43" s="14">
        <v>2696</v>
      </c>
      <c r="I43" s="15">
        <v>0.2184057031756319</v>
      </c>
      <c r="J43" s="14" t="s">
        <v>61</v>
      </c>
      <c r="K43" s="14" t="s">
        <v>74</v>
      </c>
    </row>
    <row r="44" spans="1:11" x14ac:dyDescent="0.3">
      <c r="A44" s="12" t="s">
        <v>186</v>
      </c>
      <c r="B44" s="12" t="s">
        <v>70</v>
      </c>
      <c r="C44" s="12" t="s">
        <v>187</v>
      </c>
      <c r="D44" s="12" t="s">
        <v>69</v>
      </c>
      <c r="E44" s="12">
        <v>2174</v>
      </c>
      <c r="F44" s="12">
        <v>658</v>
      </c>
      <c r="G44" s="12">
        <v>15</v>
      </c>
      <c r="H44" s="12">
        <v>2847</v>
      </c>
      <c r="I44" s="13">
        <v>0.21826126954921801</v>
      </c>
      <c r="J44" s="12" t="s">
        <v>67</v>
      </c>
      <c r="K44" s="12" t="s">
        <v>79</v>
      </c>
    </row>
    <row r="45" spans="1:11" x14ac:dyDescent="0.3">
      <c r="A45" s="14" t="s">
        <v>188</v>
      </c>
      <c r="B45" s="14" t="s">
        <v>76</v>
      </c>
      <c r="C45" s="14" t="s">
        <v>189</v>
      </c>
      <c r="D45" s="14" t="s">
        <v>63</v>
      </c>
      <c r="E45" s="14">
        <v>2358</v>
      </c>
      <c r="F45" s="14">
        <v>784</v>
      </c>
      <c r="G45" s="14">
        <v>344</v>
      </c>
      <c r="H45" s="14">
        <v>3486</v>
      </c>
      <c r="I45" s="15">
        <v>9.8558100084817649E-2</v>
      </c>
      <c r="J45" s="14" t="s">
        <v>67</v>
      </c>
      <c r="K45" s="14" t="s">
        <v>68</v>
      </c>
    </row>
    <row r="46" spans="1:11" x14ac:dyDescent="0.3">
      <c r="A46" s="12" t="s">
        <v>190</v>
      </c>
      <c r="B46" s="12" t="s">
        <v>64</v>
      </c>
      <c r="C46" s="12" t="s">
        <v>191</v>
      </c>
      <c r="D46" s="12" t="s">
        <v>85</v>
      </c>
      <c r="E46" s="12">
        <v>3371</v>
      </c>
      <c r="F46" s="12">
        <v>106</v>
      </c>
      <c r="G46" s="12">
        <v>327</v>
      </c>
      <c r="H46" s="12">
        <v>3804</v>
      </c>
      <c r="I46" s="13">
        <v>7.5229902106199939E-2</v>
      </c>
      <c r="J46" s="12" t="s">
        <v>84</v>
      </c>
      <c r="K46" s="12" t="s">
        <v>79</v>
      </c>
    </row>
    <row r="47" spans="1:11" x14ac:dyDescent="0.3">
      <c r="A47" s="14" t="s">
        <v>192</v>
      </c>
      <c r="B47" s="14" t="s">
        <v>76</v>
      </c>
      <c r="C47" s="14" t="s">
        <v>193</v>
      </c>
      <c r="D47" s="14" t="s">
        <v>85</v>
      </c>
      <c r="E47" s="14">
        <v>1108</v>
      </c>
      <c r="F47" s="14">
        <v>177</v>
      </c>
      <c r="G47" s="14">
        <v>212</v>
      </c>
      <c r="H47" s="14">
        <v>1497</v>
      </c>
      <c r="I47" s="15">
        <v>0.16888537906137191</v>
      </c>
      <c r="J47" s="14" t="s">
        <v>78</v>
      </c>
      <c r="K47" s="14" t="s">
        <v>79</v>
      </c>
    </row>
    <row r="48" spans="1:11" x14ac:dyDescent="0.3">
      <c r="A48" s="12" t="s">
        <v>194</v>
      </c>
      <c r="B48" s="12" t="s">
        <v>76</v>
      </c>
      <c r="C48" s="12" t="s">
        <v>195</v>
      </c>
      <c r="D48" s="12" t="s">
        <v>69</v>
      </c>
      <c r="E48" s="12">
        <v>2704</v>
      </c>
      <c r="F48" s="12">
        <v>752</v>
      </c>
      <c r="G48" s="12">
        <v>153</v>
      </c>
      <c r="H48" s="12">
        <v>3609</v>
      </c>
      <c r="I48" s="13">
        <v>0.16683616863905329</v>
      </c>
      <c r="J48" s="12" t="s">
        <v>84</v>
      </c>
      <c r="K48" s="12" t="s">
        <v>68</v>
      </c>
    </row>
    <row r="49" spans="1:11" x14ac:dyDescent="0.3">
      <c r="A49" s="14" t="s">
        <v>196</v>
      </c>
      <c r="B49" s="14" t="s">
        <v>76</v>
      </c>
      <c r="C49" s="14" t="s">
        <v>121</v>
      </c>
      <c r="D49" s="14" t="s">
        <v>80</v>
      </c>
      <c r="E49" s="14">
        <v>1950</v>
      </c>
      <c r="F49" s="14">
        <v>295</v>
      </c>
      <c r="G49" s="14">
        <v>478</v>
      </c>
      <c r="H49" s="14">
        <v>2723</v>
      </c>
      <c r="I49" s="15">
        <v>7.349527665317139E-2</v>
      </c>
      <c r="J49" s="14" t="s">
        <v>78</v>
      </c>
      <c r="K49" s="14" t="s">
        <v>79</v>
      </c>
    </row>
    <row r="50" spans="1:11" x14ac:dyDescent="0.3">
      <c r="A50" s="12" t="s">
        <v>197</v>
      </c>
      <c r="B50" s="12" t="s">
        <v>76</v>
      </c>
      <c r="C50" s="12" t="s">
        <v>198</v>
      </c>
      <c r="D50" s="12" t="s">
        <v>80</v>
      </c>
      <c r="E50" s="12">
        <v>2164</v>
      </c>
      <c r="F50" s="12">
        <v>549</v>
      </c>
      <c r="G50" s="12">
        <v>274</v>
      </c>
      <c r="H50" s="12">
        <v>2987</v>
      </c>
      <c r="I50" s="13">
        <v>0.106178017915541</v>
      </c>
      <c r="J50" s="12" t="s">
        <v>61</v>
      </c>
      <c r="K50" s="12" t="s">
        <v>68</v>
      </c>
    </row>
    <row r="51" spans="1:11" x14ac:dyDescent="0.3">
      <c r="A51" s="14" t="s">
        <v>199</v>
      </c>
      <c r="B51" s="14" t="s">
        <v>81</v>
      </c>
      <c r="C51" s="14" t="s">
        <v>200</v>
      </c>
      <c r="D51" s="14" t="s">
        <v>80</v>
      </c>
      <c r="E51" s="14">
        <v>2754</v>
      </c>
      <c r="F51" s="14">
        <v>130</v>
      </c>
      <c r="G51" s="14">
        <v>90</v>
      </c>
      <c r="H51" s="14">
        <v>2974</v>
      </c>
      <c r="I51" s="15">
        <v>0.1349854756717502</v>
      </c>
      <c r="J51" s="14" t="s">
        <v>78</v>
      </c>
      <c r="K51" s="14" t="s">
        <v>68</v>
      </c>
    </row>
    <row r="52" spans="1:11" x14ac:dyDescent="0.3">
      <c r="A52" s="12" t="s">
        <v>201</v>
      </c>
      <c r="B52" s="12" t="s">
        <v>64</v>
      </c>
      <c r="C52" s="12" t="s">
        <v>202</v>
      </c>
      <c r="D52" s="12" t="s">
        <v>69</v>
      </c>
      <c r="E52" s="12">
        <v>2200</v>
      </c>
      <c r="F52" s="12">
        <v>504</v>
      </c>
      <c r="G52" s="12">
        <v>239</v>
      </c>
      <c r="H52" s="12">
        <v>2943</v>
      </c>
      <c r="I52" s="13">
        <v>7.8689839572192513E-2</v>
      </c>
      <c r="J52" s="12" t="s">
        <v>67</v>
      </c>
      <c r="K52" s="12" t="s">
        <v>74</v>
      </c>
    </row>
    <row r="53" spans="1:11" x14ac:dyDescent="0.3">
      <c r="A53" s="14" t="s">
        <v>203</v>
      </c>
      <c r="B53" s="14" t="s">
        <v>64</v>
      </c>
      <c r="C53" s="14" t="s">
        <v>204</v>
      </c>
      <c r="D53" s="14" t="s">
        <v>63</v>
      </c>
      <c r="E53" s="14">
        <v>947</v>
      </c>
      <c r="F53" s="14">
        <v>338</v>
      </c>
      <c r="G53" s="14">
        <v>350</v>
      </c>
      <c r="H53" s="14">
        <v>1635</v>
      </c>
      <c r="I53" s="15">
        <v>0.1569549774407219</v>
      </c>
      <c r="J53" s="14" t="s">
        <v>78</v>
      </c>
      <c r="K53" s="14" t="s">
        <v>74</v>
      </c>
    </row>
    <row r="54" spans="1:11" x14ac:dyDescent="0.3">
      <c r="A54" s="12" t="s">
        <v>205</v>
      </c>
      <c r="B54" s="12" t="s">
        <v>81</v>
      </c>
      <c r="C54" s="12" t="s">
        <v>195</v>
      </c>
      <c r="D54" s="12" t="s">
        <v>69</v>
      </c>
      <c r="E54" s="12">
        <v>804</v>
      </c>
      <c r="F54" s="12">
        <v>639</v>
      </c>
      <c r="G54" s="12">
        <v>43</v>
      </c>
      <c r="H54" s="12">
        <v>1486</v>
      </c>
      <c r="I54" s="13">
        <v>0.36965174129353229</v>
      </c>
      <c r="J54" s="12" t="s">
        <v>61</v>
      </c>
      <c r="K54" s="12" t="s">
        <v>79</v>
      </c>
    </row>
    <row r="55" spans="1:11" x14ac:dyDescent="0.3">
      <c r="A55" s="14" t="s">
        <v>206</v>
      </c>
      <c r="B55" s="14" t="s">
        <v>81</v>
      </c>
      <c r="C55" s="14" t="s">
        <v>207</v>
      </c>
      <c r="D55" s="14" t="s">
        <v>69</v>
      </c>
      <c r="E55" s="14">
        <v>1686</v>
      </c>
      <c r="F55" s="14">
        <v>904</v>
      </c>
      <c r="G55" s="14">
        <v>472</v>
      </c>
      <c r="H55" s="14">
        <v>3062</v>
      </c>
      <c r="I55" s="15">
        <v>0.16510298716704411</v>
      </c>
      <c r="J55" s="14" t="s">
        <v>78</v>
      </c>
      <c r="K55" s="14" t="s">
        <v>62</v>
      </c>
    </row>
    <row r="56" spans="1:11" x14ac:dyDescent="0.3">
      <c r="A56" s="12" t="s">
        <v>208</v>
      </c>
      <c r="B56" s="12" t="s">
        <v>64</v>
      </c>
      <c r="C56" s="12" t="s">
        <v>209</v>
      </c>
      <c r="D56" s="12" t="s">
        <v>63</v>
      </c>
      <c r="E56" s="12">
        <v>1226</v>
      </c>
      <c r="F56" s="12">
        <v>119</v>
      </c>
      <c r="G56" s="12">
        <v>7</v>
      </c>
      <c r="H56" s="12">
        <v>1352</v>
      </c>
      <c r="I56" s="13">
        <v>9.1897770527460579E-2</v>
      </c>
      <c r="J56" s="12" t="s">
        <v>67</v>
      </c>
      <c r="K56" s="12" t="s">
        <v>79</v>
      </c>
    </row>
    <row r="57" spans="1:11" x14ac:dyDescent="0.3">
      <c r="A57" s="14" t="s">
        <v>210</v>
      </c>
      <c r="B57" s="14" t="s">
        <v>64</v>
      </c>
      <c r="C57" s="14" t="s">
        <v>211</v>
      </c>
      <c r="D57" s="14" t="s">
        <v>69</v>
      </c>
      <c r="E57" s="14">
        <v>2946</v>
      </c>
      <c r="F57" s="14">
        <v>498</v>
      </c>
      <c r="G57" s="14">
        <v>367</v>
      </c>
      <c r="H57" s="14">
        <v>3811</v>
      </c>
      <c r="I57" s="15">
        <v>0.1293618465716225</v>
      </c>
      <c r="J57" s="14" t="s">
        <v>61</v>
      </c>
      <c r="K57" s="14" t="s">
        <v>62</v>
      </c>
    </row>
    <row r="58" spans="1:11" x14ac:dyDescent="0.3">
      <c r="A58" s="12" t="s">
        <v>212</v>
      </c>
      <c r="B58" s="12" t="s">
        <v>76</v>
      </c>
      <c r="C58" s="12" t="s">
        <v>213</v>
      </c>
      <c r="D58" s="12" t="s">
        <v>85</v>
      </c>
      <c r="E58" s="12">
        <v>2825</v>
      </c>
      <c r="F58" s="12">
        <v>535</v>
      </c>
      <c r="G58" s="12">
        <v>295</v>
      </c>
      <c r="H58" s="12">
        <v>3655</v>
      </c>
      <c r="I58" s="13">
        <v>8.0862831858407078E-2</v>
      </c>
      <c r="J58" s="12" t="s">
        <v>61</v>
      </c>
      <c r="K58" s="12" t="s">
        <v>62</v>
      </c>
    </row>
    <row r="59" spans="1:11" x14ac:dyDescent="0.3">
      <c r="A59" s="14" t="s">
        <v>214</v>
      </c>
      <c r="B59" s="14" t="s">
        <v>70</v>
      </c>
      <c r="C59" s="14" t="s">
        <v>215</v>
      </c>
      <c r="D59" s="14" t="s">
        <v>75</v>
      </c>
      <c r="E59" s="14">
        <v>103</v>
      </c>
      <c r="F59" s="14">
        <v>770</v>
      </c>
      <c r="G59" s="14">
        <v>19</v>
      </c>
      <c r="H59" s="14">
        <v>892</v>
      </c>
      <c r="I59" s="15">
        <v>0.86601941747572819</v>
      </c>
      <c r="J59" s="14" t="s">
        <v>67</v>
      </c>
      <c r="K59" s="14" t="s">
        <v>74</v>
      </c>
    </row>
    <row r="60" spans="1:11" x14ac:dyDescent="0.3">
      <c r="A60" s="12" t="s">
        <v>216</v>
      </c>
      <c r="B60" s="12" t="s">
        <v>70</v>
      </c>
      <c r="C60" s="12" t="s">
        <v>217</v>
      </c>
      <c r="D60" s="12" t="s">
        <v>88</v>
      </c>
      <c r="E60" s="12">
        <v>2180</v>
      </c>
      <c r="F60" s="12">
        <v>263</v>
      </c>
      <c r="G60" s="12">
        <v>387</v>
      </c>
      <c r="H60" s="12">
        <v>2830</v>
      </c>
      <c r="I60" s="13">
        <v>9.2726081258191345E-2</v>
      </c>
      <c r="J60" s="12" t="s">
        <v>84</v>
      </c>
      <c r="K60" s="12" t="s">
        <v>68</v>
      </c>
    </row>
    <row r="61" spans="1:11" x14ac:dyDescent="0.3">
      <c r="A61" s="14" t="s">
        <v>218</v>
      </c>
      <c r="B61" s="14" t="s">
        <v>70</v>
      </c>
      <c r="C61" s="14" t="s">
        <v>219</v>
      </c>
      <c r="D61" s="14" t="s">
        <v>85</v>
      </c>
      <c r="E61" s="14">
        <v>904</v>
      </c>
      <c r="F61" s="14">
        <v>973</v>
      </c>
      <c r="G61" s="14">
        <v>63</v>
      </c>
      <c r="H61" s="14">
        <v>1940</v>
      </c>
      <c r="I61" s="15">
        <v>0.1650782845473111</v>
      </c>
      <c r="J61" s="14" t="s">
        <v>61</v>
      </c>
      <c r="K61" s="14" t="s">
        <v>68</v>
      </c>
    </row>
    <row r="62" spans="1:11" x14ac:dyDescent="0.3">
      <c r="A62" s="12" t="s">
        <v>220</v>
      </c>
      <c r="B62" s="12" t="s">
        <v>76</v>
      </c>
      <c r="C62" s="12" t="s">
        <v>221</v>
      </c>
      <c r="D62" s="12" t="s">
        <v>85</v>
      </c>
      <c r="E62" s="12">
        <v>4886</v>
      </c>
      <c r="F62" s="12">
        <v>983</v>
      </c>
      <c r="G62" s="12">
        <v>409</v>
      </c>
      <c r="H62" s="12">
        <v>6278</v>
      </c>
      <c r="I62" s="13">
        <v>0.14276618001546371</v>
      </c>
      <c r="J62" s="12" t="s">
        <v>78</v>
      </c>
      <c r="K62" s="12" t="s">
        <v>68</v>
      </c>
    </row>
    <row r="63" spans="1:11" x14ac:dyDescent="0.3">
      <c r="A63" s="14" t="s">
        <v>222</v>
      </c>
      <c r="B63" s="14" t="s">
        <v>76</v>
      </c>
      <c r="C63" s="14" t="s">
        <v>223</v>
      </c>
      <c r="D63" s="14" t="s">
        <v>69</v>
      </c>
      <c r="E63" s="14">
        <v>53</v>
      </c>
      <c r="F63" s="14">
        <v>81</v>
      </c>
      <c r="G63" s="14">
        <v>379</v>
      </c>
      <c r="H63" s="14">
        <v>513</v>
      </c>
      <c r="I63" s="15">
        <v>0.53773584905660377</v>
      </c>
      <c r="J63" s="14" t="s">
        <v>84</v>
      </c>
      <c r="K63" s="14" t="s">
        <v>74</v>
      </c>
    </row>
    <row r="64" spans="1:11" x14ac:dyDescent="0.3">
      <c r="A64" s="12" t="s">
        <v>224</v>
      </c>
      <c r="B64" s="12" t="s">
        <v>76</v>
      </c>
      <c r="C64" s="12" t="s">
        <v>165</v>
      </c>
      <c r="D64" s="12" t="s">
        <v>69</v>
      </c>
      <c r="E64" s="12">
        <v>4507</v>
      </c>
      <c r="F64" s="12">
        <v>217</v>
      </c>
      <c r="G64" s="12">
        <v>13</v>
      </c>
      <c r="H64" s="12">
        <v>4737</v>
      </c>
      <c r="I64" s="13">
        <v>5.2551586421122697E-2</v>
      </c>
      <c r="J64" s="12" t="s">
        <v>67</v>
      </c>
      <c r="K64" s="12" t="s">
        <v>68</v>
      </c>
    </row>
    <row r="65" spans="1:11" x14ac:dyDescent="0.3">
      <c r="A65" s="14" t="s">
        <v>225</v>
      </c>
      <c r="B65" s="14" t="s">
        <v>64</v>
      </c>
      <c r="C65" s="14" t="s">
        <v>226</v>
      </c>
      <c r="D65" s="14" t="s">
        <v>63</v>
      </c>
      <c r="E65" s="14">
        <v>2878</v>
      </c>
      <c r="F65" s="14">
        <v>248</v>
      </c>
      <c r="G65" s="14">
        <v>416</v>
      </c>
      <c r="H65" s="14">
        <v>3542</v>
      </c>
      <c r="I65" s="15">
        <v>8.2047718322909427E-2</v>
      </c>
      <c r="J65" s="14" t="s">
        <v>84</v>
      </c>
      <c r="K65" s="14" t="s">
        <v>62</v>
      </c>
    </row>
    <row r="66" spans="1:11" x14ac:dyDescent="0.3">
      <c r="A66" s="12" t="s">
        <v>227</v>
      </c>
      <c r="B66" s="12" t="s">
        <v>70</v>
      </c>
      <c r="C66" s="12" t="s">
        <v>228</v>
      </c>
      <c r="D66" s="12" t="s">
        <v>80</v>
      </c>
      <c r="E66" s="12">
        <v>1881</v>
      </c>
      <c r="F66" s="12">
        <v>501</v>
      </c>
      <c r="G66" s="12">
        <v>99</v>
      </c>
      <c r="H66" s="12">
        <v>2481</v>
      </c>
      <c r="I66" s="13">
        <v>0.1199072060316079</v>
      </c>
      <c r="J66" s="12" t="s">
        <v>84</v>
      </c>
      <c r="K66" s="12" t="s">
        <v>62</v>
      </c>
    </row>
    <row r="67" spans="1:11" x14ac:dyDescent="0.3">
      <c r="A67" s="14" t="s">
        <v>229</v>
      </c>
      <c r="B67" s="14" t="s">
        <v>76</v>
      </c>
      <c r="C67" s="14" t="s">
        <v>230</v>
      </c>
      <c r="D67" s="14" t="s">
        <v>69</v>
      </c>
      <c r="E67" s="14">
        <v>432</v>
      </c>
      <c r="F67" s="14">
        <v>171</v>
      </c>
      <c r="G67" s="14">
        <v>280</v>
      </c>
      <c r="H67" s="14">
        <v>883</v>
      </c>
      <c r="I67" s="15">
        <v>0.29199735449735448</v>
      </c>
      <c r="J67" s="14" t="s">
        <v>78</v>
      </c>
      <c r="K67" s="14" t="s">
        <v>74</v>
      </c>
    </row>
    <row r="68" spans="1:11" x14ac:dyDescent="0.3">
      <c r="A68" s="12" t="s">
        <v>231</v>
      </c>
      <c r="B68" s="12" t="s">
        <v>64</v>
      </c>
      <c r="C68" s="12" t="s">
        <v>232</v>
      </c>
      <c r="D68" s="12" t="s">
        <v>69</v>
      </c>
      <c r="E68" s="12">
        <v>4712</v>
      </c>
      <c r="F68" s="12">
        <v>568</v>
      </c>
      <c r="G68" s="12">
        <v>127</v>
      </c>
      <c r="H68" s="12">
        <v>5407</v>
      </c>
      <c r="I68" s="13">
        <v>6.3749764195434822E-2</v>
      </c>
      <c r="J68" s="12" t="s">
        <v>84</v>
      </c>
      <c r="K68" s="12" t="s">
        <v>68</v>
      </c>
    </row>
    <row r="69" spans="1:11" x14ac:dyDescent="0.3">
      <c r="A69" s="14" t="s">
        <v>233</v>
      </c>
      <c r="B69" s="14" t="s">
        <v>70</v>
      </c>
      <c r="C69" s="14" t="s">
        <v>234</v>
      </c>
      <c r="D69" s="14" t="s">
        <v>80</v>
      </c>
      <c r="E69" s="14">
        <v>2610</v>
      </c>
      <c r="F69" s="14">
        <v>126</v>
      </c>
      <c r="G69" s="14">
        <v>288</v>
      </c>
      <c r="H69" s="14">
        <v>3024</v>
      </c>
      <c r="I69" s="15">
        <v>0.19310344827586209</v>
      </c>
      <c r="J69" s="14" t="s">
        <v>78</v>
      </c>
      <c r="K69" s="14" t="s">
        <v>68</v>
      </c>
    </row>
    <row r="70" spans="1:11" x14ac:dyDescent="0.3">
      <c r="A70" s="12" t="s">
        <v>235</v>
      </c>
      <c r="B70" s="12" t="s">
        <v>76</v>
      </c>
      <c r="C70" s="12" t="s">
        <v>183</v>
      </c>
      <c r="D70" s="12" t="s">
        <v>88</v>
      </c>
      <c r="E70" s="12">
        <v>1292</v>
      </c>
      <c r="F70" s="12">
        <v>626</v>
      </c>
      <c r="G70" s="12">
        <v>496</v>
      </c>
      <c r="H70" s="12">
        <v>2414</v>
      </c>
      <c r="I70" s="13">
        <v>9.3421052631578946E-2</v>
      </c>
      <c r="J70" s="12" t="s">
        <v>61</v>
      </c>
      <c r="K70" s="12" t="s">
        <v>79</v>
      </c>
    </row>
    <row r="71" spans="1:11" x14ac:dyDescent="0.3">
      <c r="A71" s="14" t="s">
        <v>236</v>
      </c>
      <c r="B71" s="14" t="s">
        <v>64</v>
      </c>
      <c r="C71" s="14" t="s">
        <v>237</v>
      </c>
      <c r="D71" s="14" t="s">
        <v>85</v>
      </c>
      <c r="E71" s="14">
        <v>199</v>
      </c>
      <c r="F71" s="14">
        <v>772</v>
      </c>
      <c r="G71" s="14">
        <v>400</v>
      </c>
      <c r="H71" s="14">
        <v>1371</v>
      </c>
      <c r="I71" s="15">
        <v>0.38274706867671687</v>
      </c>
      <c r="J71" s="14" t="s">
        <v>73</v>
      </c>
      <c r="K71" s="14" t="s">
        <v>68</v>
      </c>
    </row>
    <row r="72" spans="1:11" x14ac:dyDescent="0.3">
      <c r="A72" s="12" t="s">
        <v>238</v>
      </c>
      <c r="B72" s="12" t="s">
        <v>81</v>
      </c>
      <c r="C72" s="12" t="s">
        <v>239</v>
      </c>
      <c r="D72" s="12" t="s">
        <v>69</v>
      </c>
      <c r="E72" s="12">
        <v>2551</v>
      </c>
      <c r="F72" s="12">
        <v>915</v>
      </c>
      <c r="G72" s="12">
        <v>205</v>
      </c>
      <c r="H72" s="12">
        <v>3671</v>
      </c>
      <c r="I72" s="13">
        <v>0.1199202926956749</v>
      </c>
      <c r="J72" s="12" t="s">
        <v>67</v>
      </c>
      <c r="K72" s="12" t="s">
        <v>62</v>
      </c>
    </row>
    <row r="73" spans="1:11" x14ac:dyDescent="0.3">
      <c r="A73" s="14" t="s">
        <v>240</v>
      </c>
      <c r="B73" s="14" t="s">
        <v>81</v>
      </c>
      <c r="C73" s="14" t="s">
        <v>241</v>
      </c>
      <c r="D73" s="14" t="s">
        <v>75</v>
      </c>
      <c r="E73" s="14">
        <v>296</v>
      </c>
      <c r="F73" s="14">
        <v>60</v>
      </c>
      <c r="G73" s="14">
        <v>141</v>
      </c>
      <c r="H73" s="14">
        <v>497</v>
      </c>
      <c r="I73" s="15">
        <v>8.837126600284495E-2</v>
      </c>
      <c r="J73" s="14" t="s">
        <v>73</v>
      </c>
      <c r="K73" s="14" t="s">
        <v>79</v>
      </c>
    </row>
    <row r="74" spans="1:11" x14ac:dyDescent="0.3">
      <c r="A74" s="12" t="s">
        <v>242</v>
      </c>
      <c r="B74" s="12" t="s">
        <v>64</v>
      </c>
      <c r="C74" s="12" t="s">
        <v>243</v>
      </c>
      <c r="D74" s="12" t="s">
        <v>80</v>
      </c>
      <c r="E74" s="12">
        <v>4126</v>
      </c>
      <c r="F74" s="12">
        <v>426</v>
      </c>
      <c r="G74" s="12">
        <v>486</v>
      </c>
      <c r="H74" s="12">
        <v>5038</v>
      </c>
      <c r="I74" s="13">
        <v>6.4265122330790625E-2</v>
      </c>
      <c r="J74" s="12" t="s">
        <v>78</v>
      </c>
      <c r="K74" s="12" t="s">
        <v>68</v>
      </c>
    </row>
    <row r="75" spans="1:11" x14ac:dyDescent="0.3">
      <c r="A75" s="14" t="s">
        <v>244</v>
      </c>
      <c r="B75" s="14" t="s">
        <v>81</v>
      </c>
      <c r="C75" s="14" t="s">
        <v>245</v>
      </c>
      <c r="D75" s="14" t="s">
        <v>75</v>
      </c>
      <c r="E75" s="14">
        <v>1855</v>
      </c>
      <c r="F75" s="14">
        <v>200</v>
      </c>
      <c r="G75" s="14">
        <v>174</v>
      </c>
      <c r="H75" s="14">
        <v>2229</v>
      </c>
      <c r="I75" s="15">
        <v>0.13351302785265051</v>
      </c>
      <c r="J75" s="14" t="s">
        <v>78</v>
      </c>
      <c r="K75" s="14" t="s">
        <v>74</v>
      </c>
    </row>
    <row r="76" spans="1:11" x14ac:dyDescent="0.3">
      <c r="A76" s="12" t="s">
        <v>246</v>
      </c>
      <c r="B76" s="12" t="s">
        <v>70</v>
      </c>
      <c r="C76" s="12" t="s">
        <v>247</v>
      </c>
      <c r="D76" s="12" t="s">
        <v>75</v>
      </c>
      <c r="E76" s="12">
        <v>1674</v>
      </c>
      <c r="F76" s="12">
        <v>929</v>
      </c>
      <c r="G76" s="12">
        <v>37</v>
      </c>
      <c r="H76" s="12">
        <v>2640</v>
      </c>
      <c r="I76" s="13">
        <v>0.1213123793768955</v>
      </c>
      <c r="J76" s="12" t="s">
        <v>61</v>
      </c>
      <c r="K76" s="12" t="s">
        <v>74</v>
      </c>
    </row>
    <row r="77" spans="1:11" x14ac:dyDescent="0.3">
      <c r="A77" s="14" t="s">
        <v>248</v>
      </c>
      <c r="B77" s="14" t="s">
        <v>76</v>
      </c>
      <c r="C77" s="14" t="s">
        <v>249</v>
      </c>
      <c r="D77" s="14" t="s">
        <v>80</v>
      </c>
      <c r="E77" s="14">
        <v>1121</v>
      </c>
      <c r="F77" s="14">
        <v>135</v>
      </c>
      <c r="G77" s="14">
        <v>18</v>
      </c>
      <c r="H77" s="14">
        <v>1274</v>
      </c>
      <c r="I77" s="15">
        <v>8.1177520071364848E-2</v>
      </c>
      <c r="J77" s="14" t="s">
        <v>67</v>
      </c>
      <c r="K77" s="14" t="s">
        <v>79</v>
      </c>
    </row>
    <row r="78" spans="1:11" x14ac:dyDescent="0.3">
      <c r="A78" s="12" t="s">
        <v>250</v>
      </c>
      <c r="B78" s="12" t="s">
        <v>64</v>
      </c>
      <c r="C78" s="12" t="s">
        <v>157</v>
      </c>
      <c r="D78" s="12" t="s">
        <v>80</v>
      </c>
      <c r="E78" s="12">
        <v>1249</v>
      </c>
      <c r="F78" s="12">
        <v>116</v>
      </c>
      <c r="G78" s="12">
        <v>420</v>
      </c>
      <c r="H78" s="12">
        <v>1785</v>
      </c>
      <c r="I78" s="13">
        <v>0.2041633306645316</v>
      </c>
      <c r="J78" s="12" t="s">
        <v>78</v>
      </c>
      <c r="K78" s="12" t="s">
        <v>74</v>
      </c>
    </row>
    <row r="79" spans="1:11" x14ac:dyDescent="0.3">
      <c r="A79" s="14" t="s">
        <v>251</v>
      </c>
      <c r="B79" s="14" t="s">
        <v>76</v>
      </c>
      <c r="C79" s="14" t="s">
        <v>209</v>
      </c>
      <c r="D79" s="14" t="s">
        <v>63</v>
      </c>
      <c r="E79" s="14">
        <v>954</v>
      </c>
      <c r="F79" s="14">
        <v>324</v>
      </c>
      <c r="G79" s="14">
        <v>288</v>
      </c>
      <c r="H79" s="14">
        <v>1566</v>
      </c>
      <c r="I79" s="15">
        <v>8.2075471698113203E-2</v>
      </c>
      <c r="J79" s="14" t="s">
        <v>73</v>
      </c>
      <c r="K79" s="14" t="s">
        <v>74</v>
      </c>
    </row>
    <row r="80" spans="1:11" x14ac:dyDescent="0.3">
      <c r="A80" s="12" t="s">
        <v>252</v>
      </c>
      <c r="B80" s="12" t="s">
        <v>70</v>
      </c>
      <c r="C80" s="12" t="s">
        <v>253</v>
      </c>
      <c r="D80" s="12" t="s">
        <v>69</v>
      </c>
      <c r="E80" s="12">
        <v>3068</v>
      </c>
      <c r="F80" s="12">
        <v>137</v>
      </c>
      <c r="G80" s="12">
        <v>329</v>
      </c>
      <c r="H80" s="12">
        <v>3534</v>
      </c>
      <c r="I80" s="13">
        <v>8.860696018453515E-2</v>
      </c>
      <c r="J80" s="12" t="s">
        <v>67</v>
      </c>
      <c r="K80" s="12" t="s">
        <v>74</v>
      </c>
    </row>
    <row r="81" spans="1:11" x14ac:dyDescent="0.3">
      <c r="A81" s="14" t="s">
        <v>254</v>
      </c>
      <c r="B81" s="14" t="s">
        <v>70</v>
      </c>
      <c r="C81" s="14" t="s">
        <v>202</v>
      </c>
      <c r="D81" s="14" t="s">
        <v>80</v>
      </c>
      <c r="E81" s="14">
        <v>2103</v>
      </c>
      <c r="F81" s="14">
        <v>892</v>
      </c>
      <c r="G81" s="14">
        <v>103</v>
      </c>
      <c r="H81" s="14">
        <v>3098</v>
      </c>
      <c r="I81" s="15">
        <v>7.7533348349475686E-2</v>
      </c>
      <c r="J81" s="14" t="s">
        <v>84</v>
      </c>
      <c r="K81" s="14" t="s">
        <v>62</v>
      </c>
    </row>
    <row r="82" spans="1:11" x14ac:dyDescent="0.3">
      <c r="A82" s="12" t="s">
        <v>255</v>
      </c>
      <c r="B82" s="12" t="s">
        <v>70</v>
      </c>
      <c r="C82" s="12" t="s">
        <v>256</v>
      </c>
      <c r="D82" s="12" t="s">
        <v>80</v>
      </c>
      <c r="E82" s="12">
        <v>1816</v>
      </c>
      <c r="F82" s="12">
        <v>29</v>
      </c>
      <c r="G82" s="12">
        <v>41</v>
      </c>
      <c r="H82" s="12">
        <v>1886</v>
      </c>
      <c r="I82" s="13">
        <v>9.4413295955146179E-2</v>
      </c>
      <c r="J82" s="12" t="s">
        <v>73</v>
      </c>
      <c r="K82" s="12" t="s">
        <v>74</v>
      </c>
    </row>
    <row r="83" spans="1:11" x14ac:dyDescent="0.3">
      <c r="A83" s="14" t="s">
        <v>257</v>
      </c>
      <c r="B83" s="14" t="s">
        <v>70</v>
      </c>
      <c r="C83" s="14" t="s">
        <v>258</v>
      </c>
      <c r="D83" s="14" t="s">
        <v>63</v>
      </c>
      <c r="E83" s="14">
        <v>725</v>
      </c>
      <c r="F83" s="14">
        <v>88</v>
      </c>
      <c r="G83" s="14">
        <v>428</v>
      </c>
      <c r="H83" s="14">
        <v>1241</v>
      </c>
      <c r="I83" s="15">
        <v>8.558620689655172E-2</v>
      </c>
      <c r="J83" s="14" t="s">
        <v>73</v>
      </c>
      <c r="K83" s="14" t="s">
        <v>74</v>
      </c>
    </row>
    <row r="84" spans="1:11" x14ac:dyDescent="0.3">
      <c r="A84" s="12" t="s">
        <v>259</v>
      </c>
      <c r="B84" s="12" t="s">
        <v>81</v>
      </c>
      <c r="C84" s="12" t="s">
        <v>260</v>
      </c>
      <c r="D84" s="12" t="s">
        <v>85</v>
      </c>
      <c r="E84" s="12">
        <v>1094</v>
      </c>
      <c r="F84" s="12">
        <v>472</v>
      </c>
      <c r="G84" s="12">
        <v>21</v>
      </c>
      <c r="H84" s="12">
        <v>1587</v>
      </c>
      <c r="I84" s="13">
        <v>0.16118220597196831</v>
      </c>
      <c r="J84" s="12" t="s">
        <v>73</v>
      </c>
      <c r="K84" s="12" t="s">
        <v>74</v>
      </c>
    </row>
    <row r="85" spans="1:11" x14ac:dyDescent="0.3">
      <c r="A85" s="14" t="s">
        <v>261</v>
      </c>
      <c r="B85" s="14" t="s">
        <v>64</v>
      </c>
      <c r="C85" s="14" t="s">
        <v>262</v>
      </c>
      <c r="D85" s="14" t="s">
        <v>63</v>
      </c>
      <c r="E85" s="14">
        <v>1841</v>
      </c>
      <c r="F85" s="14">
        <v>851</v>
      </c>
      <c r="G85" s="14">
        <v>342</v>
      </c>
      <c r="H85" s="14">
        <v>3034</v>
      </c>
      <c r="I85" s="15">
        <v>8.6737756939878216E-2</v>
      </c>
      <c r="J85" s="14" t="s">
        <v>78</v>
      </c>
      <c r="K85" s="14" t="s">
        <v>68</v>
      </c>
    </row>
    <row r="86" spans="1:11" x14ac:dyDescent="0.3">
      <c r="A86" s="12" t="s">
        <v>263</v>
      </c>
      <c r="B86" s="12" t="s">
        <v>70</v>
      </c>
      <c r="C86" s="12" t="s">
        <v>173</v>
      </c>
      <c r="D86" s="12" t="s">
        <v>63</v>
      </c>
      <c r="E86" s="12">
        <v>4177</v>
      </c>
      <c r="F86" s="12">
        <v>569</v>
      </c>
      <c r="G86" s="12">
        <v>55</v>
      </c>
      <c r="H86" s="12">
        <v>4801</v>
      </c>
      <c r="I86" s="13">
        <v>0.1915649190008778</v>
      </c>
      <c r="J86" s="12" t="s">
        <v>78</v>
      </c>
      <c r="K86" s="12" t="s">
        <v>68</v>
      </c>
    </row>
    <row r="87" spans="1:11" x14ac:dyDescent="0.3">
      <c r="A87" s="14" t="s">
        <v>264</v>
      </c>
      <c r="B87" s="14" t="s">
        <v>81</v>
      </c>
      <c r="C87" s="14" t="s">
        <v>265</v>
      </c>
      <c r="D87" s="14" t="s">
        <v>88</v>
      </c>
      <c r="E87" s="14">
        <v>3428</v>
      </c>
      <c r="F87" s="14">
        <v>305</v>
      </c>
      <c r="G87" s="14">
        <v>85</v>
      </c>
      <c r="H87" s="14">
        <v>3818</v>
      </c>
      <c r="I87" s="15">
        <v>6.5515821264328367E-2</v>
      </c>
      <c r="J87" s="14" t="s">
        <v>73</v>
      </c>
      <c r="K87" s="14" t="s">
        <v>74</v>
      </c>
    </row>
    <row r="88" spans="1:11" x14ac:dyDescent="0.3">
      <c r="A88" s="12" t="s">
        <v>266</v>
      </c>
      <c r="B88" s="12" t="s">
        <v>76</v>
      </c>
      <c r="C88" s="12" t="s">
        <v>267</v>
      </c>
      <c r="D88" s="12" t="s">
        <v>85</v>
      </c>
      <c r="E88" s="12">
        <v>1436</v>
      </c>
      <c r="F88" s="12">
        <v>765</v>
      </c>
      <c r="G88" s="12">
        <v>496</v>
      </c>
      <c r="H88" s="12">
        <v>2697</v>
      </c>
      <c r="I88" s="13">
        <v>0.20868152274837509</v>
      </c>
      <c r="J88" s="12" t="s">
        <v>73</v>
      </c>
      <c r="K88" s="12" t="s">
        <v>62</v>
      </c>
    </row>
    <row r="89" spans="1:11" x14ac:dyDescent="0.3">
      <c r="A89" s="14" t="s">
        <v>268</v>
      </c>
      <c r="B89" s="14" t="s">
        <v>64</v>
      </c>
      <c r="C89" s="14" t="s">
        <v>269</v>
      </c>
      <c r="D89" s="14" t="s">
        <v>80</v>
      </c>
      <c r="E89" s="14">
        <v>302</v>
      </c>
      <c r="F89" s="14">
        <v>47</v>
      </c>
      <c r="G89" s="14">
        <v>430</v>
      </c>
      <c r="H89" s="14">
        <v>779</v>
      </c>
      <c r="I89" s="15">
        <v>0.13576158940397351</v>
      </c>
      <c r="J89" s="14" t="s">
        <v>78</v>
      </c>
      <c r="K89" s="14" t="s">
        <v>62</v>
      </c>
    </row>
    <row r="90" spans="1:11" x14ac:dyDescent="0.3">
      <c r="A90" s="12" t="s">
        <v>270</v>
      </c>
      <c r="B90" s="12" t="s">
        <v>76</v>
      </c>
      <c r="C90" s="12" t="s">
        <v>271</v>
      </c>
      <c r="D90" s="12" t="s">
        <v>63</v>
      </c>
      <c r="E90" s="12">
        <v>2214</v>
      </c>
      <c r="F90" s="12">
        <v>249</v>
      </c>
      <c r="G90" s="12">
        <v>152</v>
      </c>
      <c r="H90" s="12">
        <v>2615</v>
      </c>
      <c r="I90" s="13">
        <v>0.16873144921925409</v>
      </c>
      <c r="J90" s="12" t="s">
        <v>67</v>
      </c>
      <c r="K90" s="12" t="s">
        <v>62</v>
      </c>
    </row>
    <row r="91" spans="1:11" x14ac:dyDescent="0.3">
      <c r="A91" s="14" t="s">
        <v>272</v>
      </c>
      <c r="B91" s="14" t="s">
        <v>70</v>
      </c>
      <c r="C91" s="14" t="s">
        <v>273</v>
      </c>
      <c r="D91" s="14" t="s">
        <v>63</v>
      </c>
      <c r="E91" s="14">
        <v>3861</v>
      </c>
      <c r="F91" s="14">
        <v>960</v>
      </c>
      <c r="G91" s="14">
        <v>101</v>
      </c>
      <c r="H91" s="14">
        <v>4922</v>
      </c>
      <c r="I91" s="15">
        <v>7.0822181933293038E-2</v>
      </c>
      <c r="J91" s="14" t="s">
        <v>78</v>
      </c>
      <c r="K91" s="14" t="s">
        <v>62</v>
      </c>
    </row>
    <row r="92" spans="1:11" x14ac:dyDescent="0.3">
      <c r="A92" s="12" t="s">
        <v>274</v>
      </c>
      <c r="B92" s="12" t="s">
        <v>64</v>
      </c>
      <c r="C92" s="12" t="s">
        <v>275</v>
      </c>
      <c r="D92" s="12" t="s">
        <v>63</v>
      </c>
      <c r="E92" s="12">
        <v>1263</v>
      </c>
      <c r="F92" s="12">
        <v>397</v>
      </c>
      <c r="G92" s="12">
        <v>357</v>
      </c>
      <c r="H92" s="12">
        <v>2017</v>
      </c>
      <c r="I92" s="13">
        <v>7.984956452889945E-2</v>
      </c>
      <c r="J92" s="12" t="s">
        <v>67</v>
      </c>
      <c r="K92" s="12" t="s">
        <v>62</v>
      </c>
    </row>
    <row r="93" spans="1:11" x14ac:dyDescent="0.3">
      <c r="A93" s="14" t="s">
        <v>276</v>
      </c>
      <c r="B93" s="14" t="s">
        <v>76</v>
      </c>
      <c r="C93" s="14" t="s">
        <v>213</v>
      </c>
      <c r="D93" s="14" t="s">
        <v>80</v>
      </c>
      <c r="E93" s="14">
        <v>3801</v>
      </c>
      <c r="F93" s="14">
        <v>967</v>
      </c>
      <c r="G93" s="14">
        <v>401</v>
      </c>
      <c r="H93" s="14">
        <v>5169</v>
      </c>
      <c r="I93" s="15">
        <v>0.13599052880820839</v>
      </c>
      <c r="J93" s="14" t="s">
        <v>61</v>
      </c>
      <c r="K93" s="14" t="s">
        <v>79</v>
      </c>
    </row>
    <row r="94" spans="1:11" x14ac:dyDescent="0.3">
      <c r="A94" s="12" t="s">
        <v>277</v>
      </c>
      <c r="B94" s="12" t="s">
        <v>70</v>
      </c>
      <c r="C94" s="12" t="s">
        <v>278</v>
      </c>
      <c r="D94" s="12" t="s">
        <v>85</v>
      </c>
      <c r="E94" s="12">
        <v>1431</v>
      </c>
      <c r="F94" s="12">
        <v>951</v>
      </c>
      <c r="G94" s="12">
        <v>26</v>
      </c>
      <c r="H94" s="12">
        <v>2408</v>
      </c>
      <c r="I94" s="13">
        <v>0.28045655718611701</v>
      </c>
      <c r="J94" s="12" t="s">
        <v>73</v>
      </c>
      <c r="K94" s="12" t="s">
        <v>68</v>
      </c>
    </row>
    <row r="95" spans="1:11" x14ac:dyDescent="0.3">
      <c r="A95" s="14" t="s">
        <v>279</v>
      </c>
      <c r="B95" s="14" t="s">
        <v>70</v>
      </c>
      <c r="C95" s="14" t="s">
        <v>249</v>
      </c>
      <c r="D95" s="14" t="s">
        <v>63</v>
      </c>
      <c r="E95" s="14">
        <v>2647</v>
      </c>
      <c r="F95" s="14">
        <v>304</v>
      </c>
      <c r="G95" s="14">
        <v>170</v>
      </c>
      <c r="H95" s="14">
        <v>3121</v>
      </c>
      <c r="I95" s="15">
        <v>0.16843866371633659</v>
      </c>
      <c r="J95" s="14" t="s">
        <v>61</v>
      </c>
      <c r="K95" s="14" t="s">
        <v>62</v>
      </c>
    </row>
    <row r="96" spans="1:11" x14ac:dyDescent="0.3">
      <c r="A96" s="12" t="s">
        <v>280</v>
      </c>
      <c r="B96" s="12" t="s">
        <v>70</v>
      </c>
      <c r="C96" s="12" t="s">
        <v>281</v>
      </c>
      <c r="D96" s="12" t="s">
        <v>88</v>
      </c>
      <c r="E96" s="12">
        <v>3182</v>
      </c>
      <c r="F96" s="12">
        <v>559</v>
      </c>
      <c r="G96" s="12">
        <v>160</v>
      </c>
      <c r="H96" s="12">
        <v>3901</v>
      </c>
      <c r="I96" s="13">
        <v>6.8108806480899509E-2</v>
      </c>
      <c r="J96" s="12" t="s">
        <v>61</v>
      </c>
      <c r="K96" s="12" t="s">
        <v>62</v>
      </c>
    </row>
    <row r="97" spans="1:11" x14ac:dyDescent="0.3">
      <c r="A97" s="14" t="s">
        <v>282</v>
      </c>
      <c r="B97" s="14" t="s">
        <v>76</v>
      </c>
      <c r="C97" s="14" t="s">
        <v>283</v>
      </c>
      <c r="D97" s="14" t="s">
        <v>63</v>
      </c>
      <c r="E97" s="14">
        <v>1238</v>
      </c>
      <c r="F97" s="14">
        <v>366</v>
      </c>
      <c r="G97" s="14">
        <v>444</v>
      </c>
      <c r="H97" s="14">
        <v>2048</v>
      </c>
      <c r="I97" s="15">
        <v>0.1033925686591276</v>
      </c>
      <c r="J97" s="14" t="s">
        <v>84</v>
      </c>
      <c r="K97" s="14" t="s">
        <v>74</v>
      </c>
    </row>
    <row r="98" spans="1:11" x14ac:dyDescent="0.3">
      <c r="A98" s="12" t="s">
        <v>284</v>
      </c>
      <c r="B98" s="12" t="s">
        <v>70</v>
      </c>
      <c r="C98" s="12" t="s">
        <v>285</v>
      </c>
      <c r="D98" s="12" t="s">
        <v>63</v>
      </c>
      <c r="E98" s="12">
        <v>4739</v>
      </c>
      <c r="F98" s="12">
        <v>527</v>
      </c>
      <c r="G98" s="12">
        <v>135</v>
      </c>
      <c r="H98" s="12">
        <v>5401</v>
      </c>
      <c r="I98" s="13">
        <v>8.7668609086629767E-2</v>
      </c>
      <c r="J98" s="12" t="s">
        <v>61</v>
      </c>
      <c r="K98" s="12" t="s">
        <v>62</v>
      </c>
    </row>
    <row r="99" spans="1:11" x14ac:dyDescent="0.3">
      <c r="A99" s="14" t="s">
        <v>286</v>
      </c>
      <c r="B99" s="14" t="s">
        <v>76</v>
      </c>
      <c r="C99" s="14" t="s">
        <v>198</v>
      </c>
      <c r="D99" s="14" t="s">
        <v>80</v>
      </c>
      <c r="E99" s="14">
        <v>1575</v>
      </c>
      <c r="F99" s="14">
        <v>771</v>
      </c>
      <c r="G99" s="14">
        <v>486</v>
      </c>
      <c r="H99" s="14">
        <v>2832</v>
      </c>
      <c r="I99" s="15">
        <v>0.1123809523809524</v>
      </c>
      <c r="J99" s="14" t="s">
        <v>61</v>
      </c>
      <c r="K99" s="14" t="s">
        <v>74</v>
      </c>
    </row>
    <row r="100" spans="1:11" x14ac:dyDescent="0.3">
      <c r="A100" s="12" t="s">
        <v>287</v>
      </c>
      <c r="B100" s="12" t="s">
        <v>81</v>
      </c>
      <c r="C100" s="12" t="s">
        <v>288</v>
      </c>
      <c r="D100" s="12" t="s">
        <v>69</v>
      </c>
      <c r="E100" s="12">
        <v>4171</v>
      </c>
      <c r="F100" s="12">
        <v>548</v>
      </c>
      <c r="G100" s="12">
        <v>86</v>
      </c>
      <c r="H100" s="12">
        <v>4805</v>
      </c>
      <c r="I100" s="13">
        <v>7.2000119875329657E-2</v>
      </c>
      <c r="J100" s="12" t="s">
        <v>61</v>
      </c>
      <c r="K100" s="12" t="s">
        <v>74</v>
      </c>
    </row>
    <row r="101" spans="1:11" x14ac:dyDescent="0.3">
      <c r="A101" s="14" t="s">
        <v>289</v>
      </c>
      <c r="B101" s="14" t="s">
        <v>81</v>
      </c>
      <c r="C101" s="14" t="s">
        <v>290</v>
      </c>
      <c r="D101" s="14" t="s">
        <v>85</v>
      </c>
      <c r="E101" s="14">
        <v>1766</v>
      </c>
      <c r="F101" s="14">
        <v>92</v>
      </c>
      <c r="G101" s="14">
        <v>424</v>
      </c>
      <c r="H101" s="14">
        <v>2282</v>
      </c>
      <c r="I101" s="15">
        <v>9.2298980747451867E-2</v>
      </c>
      <c r="J101" s="14" t="s">
        <v>61</v>
      </c>
      <c r="K101" s="14" t="s">
        <v>68</v>
      </c>
    </row>
    <row r="102" spans="1:11" x14ac:dyDescent="0.3">
      <c r="A102" s="12" t="s">
        <v>291</v>
      </c>
      <c r="B102" s="12" t="s">
        <v>81</v>
      </c>
      <c r="C102" s="12" t="s">
        <v>243</v>
      </c>
      <c r="D102" s="12" t="s">
        <v>85</v>
      </c>
      <c r="E102" s="12">
        <v>4450</v>
      </c>
      <c r="F102" s="12">
        <v>983</v>
      </c>
      <c r="G102" s="12">
        <v>143</v>
      </c>
      <c r="H102" s="12">
        <v>5576</v>
      </c>
      <c r="I102" s="13">
        <v>7.3707865168539333E-2</v>
      </c>
      <c r="J102" s="12" t="s">
        <v>67</v>
      </c>
      <c r="K102" s="12" t="s">
        <v>62</v>
      </c>
    </row>
    <row r="103" spans="1:11" x14ac:dyDescent="0.3">
      <c r="A103" s="14" t="s">
        <v>292</v>
      </c>
      <c r="B103" s="14" t="s">
        <v>76</v>
      </c>
      <c r="C103" s="14" t="s">
        <v>293</v>
      </c>
      <c r="D103" s="14" t="s">
        <v>75</v>
      </c>
      <c r="E103" s="14">
        <v>1000</v>
      </c>
      <c r="F103" s="14">
        <v>978</v>
      </c>
      <c r="G103" s="14">
        <v>162</v>
      </c>
      <c r="H103" s="14">
        <v>2140</v>
      </c>
      <c r="I103" s="15">
        <v>0.35666666666666669</v>
      </c>
      <c r="J103" s="14" t="s">
        <v>73</v>
      </c>
      <c r="K103" s="14" t="s">
        <v>74</v>
      </c>
    </row>
    <row r="104" spans="1:11" x14ac:dyDescent="0.3">
      <c r="A104" s="12" t="s">
        <v>294</v>
      </c>
      <c r="B104" s="12" t="s">
        <v>64</v>
      </c>
      <c r="C104" s="12" t="s">
        <v>295</v>
      </c>
      <c r="D104" s="12" t="s">
        <v>63</v>
      </c>
      <c r="E104" s="12">
        <v>3689</v>
      </c>
      <c r="F104" s="12">
        <v>48</v>
      </c>
      <c r="G104" s="12">
        <v>306</v>
      </c>
      <c r="H104" s="12">
        <v>4043</v>
      </c>
      <c r="I104" s="13">
        <v>9.9632815002833983E-2</v>
      </c>
      <c r="J104" s="12" t="s">
        <v>73</v>
      </c>
      <c r="K104" s="12" t="s">
        <v>68</v>
      </c>
    </row>
    <row r="105" spans="1:11" x14ac:dyDescent="0.3">
      <c r="A105" s="14" t="s">
        <v>296</v>
      </c>
      <c r="B105" s="14" t="s">
        <v>81</v>
      </c>
      <c r="C105" s="14" t="s">
        <v>297</v>
      </c>
      <c r="D105" s="14" t="s">
        <v>80</v>
      </c>
      <c r="E105" s="14">
        <v>3655</v>
      </c>
      <c r="F105" s="14">
        <v>568</v>
      </c>
      <c r="G105" s="14">
        <v>286</v>
      </c>
      <c r="H105" s="14">
        <v>4509</v>
      </c>
      <c r="I105" s="15">
        <v>0.13707250341997271</v>
      </c>
      <c r="J105" s="14" t="s">
        <v>73</v>
      </c>
      <c r="K105" s="14" t="s">
        <v>79</v>
      </c>
    </row>
    <row r="106" spans="1:11" x14ac:dyDescent="0.3">
      <c r="A106" s="12" t="s">
        <v>298</v>
      </c>
      <c r="B106" s="12" t="s">
        <v>70</v>
      </c>
      <c r="C106" s="12" t="s">
        <v>299</v>
      </c>
      <c r="D106" s="12" t="s">
        <v>69</v>
      </c>
      <c r="E106" s="12">
        <v>498</v>
      </c>
      <c r="F106" s="12">
        <v>38</v>
      </c>
      <c r="G106" s="12">
        <v>42</v>
      </c>
      <c r="H106" s="12">
        <v>578</v>
      </c>
      <c r="I106" s="13">
        <v>0.1289602855867916</v>
      </c>
      <c r="J106" s="12" t="s">
        <v>61</v>
      </c>
      <c r="K106" s="12" t="s">
        <v>79</v>
      </c>
    </row>
    <row r="107" spans="1:11" x14ac:dyDescent="0.3">
      <c r="A107" s="14" t="s">
        <v>300</v>
      </c>
      <c r="B107" s="14" t="s">
        <v>70</v>
      </c>
      <c r="C107" s="14" t="s">
        <v>301</v>
      </c>
      <c r="D107" s="14" t="s">
        <v>63</v>
      </c>
      <c r="E107" s="14">
        <v>4619</v>
      </c>
      <c r="F107" s="14">
        <v>821</v>
      </c>
      <c r="G107" s="14">
        <v>499</v>
      </c>
      <c r="H107" s="14">
        <v>5939</v>
      </c>
      <c r="I107" s="15">
        <v>8.5718409468138843E-2</v>
      </c>
      <c r="J107" s="14" t="s">
        <v>78</v>
      </c>
      <c r="K107" s="14" t="s">
        <v>68</v>
      </c>
    </row>
    <row r="108" spans="1:11" x14ac:dyDescent="0.3">
      <c r="A108" s="12" t="s">
        <v>302</v>
      </c>
      <c r="B108" s="12" t="s">
        <v>81</v>
      </c>
      <c r="C108" s="12" t="s">
        <v>303</v>
      </c>
      <c r="D108" s="12" t="s">
        <v>63</v>
      </c>
      <c r="E108" s="12">
        <v>4832</v>
      </c>
      <c r="F108" s="12">
        <v>893</v>
      </c>
      <c r="G108" s="12">
        <v>10</v>
      </c>
      <c r="H108" s="12">
        <v>5735</v>
      </c>
      <c r="I108" s="13">
        <v>6.2467323109097243E-2</v>
      </c>
      <c r="J108" s="12" t="s">
        <v>67</v>
      </c>
      <c r="K108" s="12" t="s">
        <v>74</v>
      </c>
    </row>
    <row r="109" spans="1:11" x14ac:dyDescent="0.3">
      <c r="A109" s="14" t="s">
        <v>304</v>
      </c>
      <c r="B109" s="14" t="s">
        <v>76</v>
      </c>
      <c r="C109" s="14" t="s">
        <v>305</v>
      </c>
      <c r="D109" s="14" t="s">
        <v>85</v>
      </c>
      <c r="E109" s="14">
        <v>4050</v>
      </c>
      <c r="F109" s="14">
        <v>871</v>
      </c>
      <c r="G109" s="14">
        <v>347</v>
      </c>
      <c r="H109" s="14">
        <v>5268</v>
      </c>
      <c r="I109" s="15">
        <v>0.1000569800569801</v>
      </c>
      <c r="J109" s="14" t="s">
        <v>61</v>
      </c>
      <c r="K109" s="14" t="s">
        <v>68</v>
      </c>
    </row>
    <row r="110" spans="1:11" x14ac:dyDescent="0.3">
      <c r="A110" s="12" t="s">
        <v>306</v>
      </c>
      <c r="B110" s="12" t="s">
        <v>76</v>
      </c>
      <c r="C110" s="12" t="s">
        <v>307</v>
      </c>
      <c r="D110" s="12" t="s">
        <v>80</v>
      </c>
      <c r="E110" s="12">
        <v>3649</v>
      </c>
      <c r="F110" s="12">
        <v>215</v>
      </c>
      <c r="G110" s="12">
        <v>413</v>
      </c>
      <c r="H110" s="12">
        <v>4277</v>
      </c>
      <c r="I110" s="13">
        <v>0.16744313510550829</v>
      </c>
      <c r="J110" s="12" t="s">
        <v>78</v>
      </c>
      <c r="K110" s="12" t="s">
        <v>68</v>
      </c>
    </row>
    <row r="111" spans="1:11" x14ac:dyDescent="0.3">
      <c r="A111" s="14" t="s">
        <v>308</v>
      </c>
      <c r="B111" s="14" t="s">
        <v>70</v>
      </c>
      <c r="C111" s="14" t="s">
        <v>309</v>
      </c>
      <c r="D111" s="14" t="s">
        <v>75</v>
      </c>
      <c r="E111" s="14">
        <v>3523</v>
      </c>
      <c r="F111" s="14">
        <v>753</v>
      </c>
      <c r="G111" s="14">
        <v>482</v>
      </c>
      <c r="H111" s="14">
        <v>4758</v>
      </c>
      <c r="I111" s="15">
        <v>0.1227775914122778</v>
      </c>
      <c r="J111" s="14" t="s">
        <v>84</v>
      </c>
      <c r="K111" s="14" t="s">
        <v>62</v>
      </c>
    </row>
    <row r="112" spans="1:11" x14ac:dyDescent="0.3">
      <c r="A112" s="12" t="s">
        <v>310</v>
      </c>
      <c r="B112" s="12" t="s">
        <v>81</v>
      </c>
      <c r="C112" s="12" t="s">
        <v>311</v>
      </c>
      <c r="D112" s="12" t="s">
        <v>63</v>
      </c>
      <c r="E112" s="12">
        <v>2719</v>
      </c>
      <c r="F112" s="12">
        <v>17</v>
      </c>
      <c r="G112" s="12">
        <v>285</v>
      </c>
      <c r="H112" s="12">
        <v>3021</v>
      </c>
      <c r="I112" s="13">
        <v>7.4071349760941527E-2</v>
      </c>
      <c r="J112" s="12" t="s">
        <v>78</v>
      </c>
      <c r="K112" s="12" t="s">
        <v>74</v>
      </c>
    </row>
    <row r="113" spans="1:11" x14ac:dyDescent="0.3">
      <c r="A113" s="14" t="s">
        <v>312</v>
      </c>
      <c r="B113" s="14" t="s">
        <v>76</v>
      </c>
      <c r="C113" s="14" t="s">
        <v>313</v>
      </c>
      <c r="D113" s="14" t="s">
        <v>80</v>
      </c>
      <c r="E113" s="14">
        <v>1957</v>
      </c>
      <c r="F113" s="14">
        <v>877</v>
      </c>
      <c r="G113" s="14">
        <v>238</v>
      </c>
      <c r="H113" s="14">
        <v>3072</v>
      </c>
      <c r="I113" s="15">
        <v>0.17441662408448311</v>
      </c>
      <c r="J113" s="14" t="s">
        <v>78</v>
      </c>
      <c r="K113" s="14" t="s">
        <v>74</v>
      </c>
    </row>
    <row r="114" spans="1:11" x14ac:dyDescent="0.3">
      <c r="A114" s="12" t="s">
        <v>314</v>
      </c>
      <c r="B114" s="12" t="s">
        <v>76</v>
      </c>
      <c r="C114" s="12" t="s">
        <v>315</v>
      </c>
      <c r="D114" s="12" t="s">
        <v>69</v>
      </c>
      <c r="E114" s="12">
        <v>4419</v>
      </c>
      <c r="F114" s="12">
        <v>236</v>
      </c>
      <c r="G114" s="12">
        <v>369</v>
      </c>
      <c r="H114" s="12">
        <v>5024</v>
      </c>
      <c r="I114" s="13">
        <v>0.11369088028965831</v>
      </c>
      <c r="J114" s="12" t="s">
        <v>73</v>
      </c>
      <c r="K114" s="12" t="s">
        <v>79</v>
      </c>
    </row>
    <row r="115" spans="1:11" x14ac:dyDescent="0.3">
      <c r="A115" s="14" t="s">
        <v>316</v>
      </c>
      <c r="B115" s="14" t="s">
        <v>76</v>
      </c>
      <c r="C115" s="14" t="s">
        <v>317</v>
      </c>
      <c r="D115" s="14" t="s">
        <v>80</v>
      </c>
      <c r="E115" s="14">
        <v>4000</v>
      </c>
      <c r="F115" s="14">
        <v>689</v>
      </c>
      <c r="G115" s="14">
        <v>488</v>
      </c>
      <c r="H115" s="14">
        <v>5177</v>
      </c>
      <c r="I115" s="15">
        <v>0.12942500000000001</v>
      </c>
      <c r="J115" s="14" t="s">
        <v>84</v>
      </c>
      <c r="K115" s="14" t="s">
        <v>74</v>
      </c>
    </row>
    <row r="116" spans="1:11" x14ac:dyDescent="0.3">
      <c r="A116" s="12" t="s">
        <v>318</v>
      </c>
      <c r="B116" s="12" t="s">
        <v>76</v>
      </c>
      <c r="C116" s="12" t="s">
        <v>319</v>
      </c>
      <c r="D116" s="12" t="s">
        <v>63</v>
      </c>
      <c r="E116" s="12">
        <v>2493</v>
      </c>
      <c r="F116" s="12">
        <v>97</v>
      </c>
      <c r="G116" s="12">
        <v>44</v>
      </c>
      <c r="H116" s="12">
        <v>2634</v>
      </c>
      <c r="I116" s="13">
        <v>6.2150491965739373E-2</v>
      </c>
      <c r="J116" s="12" t="s">
        <v>67</v>
      </c>
      <c r="K116" s="12" t="s">
        <v>68</v>
      </c>
    </row>
    <row r="117" spans="1:11" x14ac:dyDescent="0.3">
      <c r="A117" s="14" t="s">
        <v>320</v>
      </c>
      <c r="B117" s="14" t="s">
        <v>81</v>
      </c>
      <c r="C117" s="14" t="s">
        <v>321</v>
      </c>
      <c r="D117" s="14" t="s">
        <v>75</v>
      </c>
      <c r="E117" s="14">
        <v>3704</v>
      </c>
      <c r="F117" s="14">
        <v>186</v>
      </c>
      <c r="G117" s="14">
        <v>458</v>
      </c>
      <c r="H117" s="14">
        <v>4348</v>
      </c>
      <c r="I117" s="15">
        <v>0.16769515581610611</v>
      </c>
      <c r="J117" s="14" t="s">
        <v>61</v>
      </c>
      <c r="K117" s="14" t="s">
        <v>68</v>
      </c>
    </row>
    <row r="118" spans="1:11" x14ac:dyDescent="0.3">
      <c r="A118" s="12" t="s">
        <v>322</v>
      </c>
      <c r="B118" s="12" t="s">
        <v>76</v>
      </c>
      <c r="C118" s="12" t="s">
        <v>323</v>
      </c>
      <c r="D118" s="12" t="s">
        <v>63</v>
      </c>
      <c r="E118" s="12">
        <v>1606</v>
      </c>
      <c r="F118" s="12">
        <v>451</v>
      </c>
      <c r="G118" s="12">
        <v>405</v>
      </c>
      <c r="H118" s="12">
        <v>2462</v>
      </c>
      <c r="I118" s="13">
        <v>0.1179231727176933</v>
      </c>
      <c r="J118" s="12" t="s">
        <v>67</v>
      </c>
      <c r="K118" s="12" t="s">
        <v>62</v>
      </c>
    </row>
    <row r="119" spans="1:11" x14ac:dyDescent="0.3">
      <c r="A119" s="14" t="s">
        <v>324</v>
      </c>
      <c r="B119" s="14" t="s">
        <v>64</v>
      </c>
      <c r="C119" s="14" t="s">
        <v>323</v>
      </c>
      <c r="D119" s="14" t="s">
        <v>63</v>
      </c>
      <c r="E119" s="14">
        <v>4551</v>
      </c>
      <c r="F119" s="14">
        <v>714</v>
      </c>
      <c r="G119" s="14">
        <v>207</v>
      </c>
      <c r="H119" s="14">
        <v>5472</v>
      </c>
      <c r="I119" s="15">
        <v>8.0158206987475278E-2</v>
      </c>
      <c r="J119" s="14" t="s">
        <v>73</v>
      </c>
      <c r="K119" s="14" t="s">
        <v>62</v>
      </c>
    </row>
    <row r="120" spans="1:11" x14ac:dyDescent="0.3">
      <c r="A120" s="12" t="s">
        <v>325</v>
      </c>
      <c r="B120" s="12" t="s">
        <v>70</v>
      </c>
      <c r="C120" s="12" t="s">
        <v>326</v>
      </c>
      <c r="D120" s="12" t="s">
        <v>75</v>
      </c>
      <c r="E120" s="12">
        <v>1970</v>
      </c>
      <c r="F120" s="12">
        <v>675</v>
      </c>
      <c r="G120" s="12">
        <v>478</v>
      </c>
      <c r="H120" s="12">
        <v>3123</v>
      </c>
      <c r="I120" s="13">
        <v>0.31705583756345179</v>
      </c>
      <c r="J120" s="12" t="s">
        <v>73</v>
      </c>
      <c r="K120" s="12" t="s">
        <v>79</v>
      </c>
    </row>
    <row r="121" spans="1:11" x14ac:dyDescent="0.3">
      <c r="A121" s="14" t="s">
        <v>327</v>
      </c>
      <c r="B121" s="14" t="s">
        <v>64</v>
      </c>
      <c r="C121" s="14" t="s">
        <v>213</v>
      </c>
      <c r="D121" s="14" t="s">
        <v>80</v>
      </c>
      <c r="E121" s="14">
        <v>780</v>
      </c>
      <c r="F121" s="14">
        <v>928</v>
      </c>
      <c r="G121" s="14">
        <v>301</v>
      </c>
      <c r="H121" s="14">
        <v>2009</v>
      </c>
      <c r="I121" s="15">
        <v>0.23414918414918409</v>
      </c>
      <c r="J121" s="14" t="s">
        <v>67</v>
      </c>
      <c r="K121" s="14" t="s">
        <v>79</v>
      </c>
    </row>
    <row r="122" spans="1:11" x14ac:dyDescent="0.3">
      <c r="A122" s="12" t="s">
        <v>328</v>
      </c>
      <c r="B122" s="12" t="s">
        <v>70</v>
      </c>
      <c r="C122" s="12" t="s">
        <v>309</v>
      </c>
      <c r="D122" s="12" t="s">
        <v>80</v>
      </c>
      <c r="E122" s="12">
        <v>498</v>
      </c>
      <c r="F122" s="12">
        <v>701</v>
      </c>
      <c r="G122" s="12">
        <v>412</v>
      </c>
      <c r="H122" s="12">
        <v>1611</v>
      </c>
      <c r="I122" s="13">
        <v>0.32349397590361451</v>
      </c>
      <c r="J122" s="12" t="s">
        <v>84</v>
      </c>
      <c r="K122" s="12" t="s">
        <v>79</v>
      </c>
    </row>
    <row r="123" spans="1:11" x14ac:dyDescent="0.3">
      <c r="A123" s="14" t="s">
        <v>329</v>
      </c>
      <c r="B123" s="14" t="s">
        <v>70</v>
      </c>
      <c r="C123" s="14" t="s">
        <v>315</v>
      </c>
      <c r="D123" s="14" t="s">
        <v>88</v>
      </c>
      <c r="E123" s="14">
        <v>3432</v>
      </c>
      <c r="F123" s="14">
        <v>869</v>
      </c>
      <c r="G123" s="14">
        <v>123</v>
      </c>
      <c r="H123" s="14">
        <v>4424</v>
      </c>
      <c r="I123" s="15">
        <v>8.0565268065268064E-2</v>
      </c>
      <c r="J123" s="14" t="s">
        <v>78</v>
      </c>
      <c r="K123" s="14" t="s">
        <v>62</v>
      </c>
    </row>
    <row r="124" spans="1:11" x14ac:dyDescent="0.3">
      <c r="A124" s="12" t="s">
        <v>330</v>
      </c>
      <c r="B124" s="12" t="s">
        <v>70</v>
      </c>
      <c r="C124" s="12" t="s">
        <v>299</v>
      </c>
      <c r="D124" s="12" t="s">
        <v>80</v>
      </c>
      <c r="E124" s="12">
        <v>4363</v>
      </c>
      <c r="F124" s="12">
        <v>649</v>
      </c>
      <c r="G124" s="12">
        <v>140</v>
      </c>
      <c r="H124" s="12">
        <v>5152</v>
      </c>
      <c r="I124" s="13">
        <v>0.23616777446710979</v>
      </c>
      <c r="J124" s="12" t="s">
        <v>67</v>
      </c>
      <c r="K124" s="12" t="s">
        <v>62</v>
      </c>
    </row>
    <row r="125" spans="1:11" x14ac:dyDescent="0.3">
      <c r="A125" s="14" t="s">
        <v>331</v>
      </c>
      <c r="B125" s="14" t="s">
        <v>81</v>
      </c>
      <c r="C125" s="14" t="s">
        <v>332</v>
      </c>
      <c r="D125" s="14" t="s">
        <v>69</v>
      </c>
      <c r="E125" s="14">
        <v>736</v>
      </c>
      <c r="F125" s="14">
        <v>771</v>
      </c>
      <c r="G125" s="14">
        <v>225</v>
      </c>
      <c r="H125" s="14">
        <v>1732</v>
      </c>
      <c r="I125" s="15">
        <v>0.33618012422360249</v>
      </c>
      <c r="J125" s="14" t="s">
        <v>61</v>
      </c>
      <c r="K125" s="14" t="s">
        <v>74</v>
      </c>
    </row>
    <row r="126" spans="1:11" x14ac:dyDescent="0.3">
      <c r="A126" s="12" t="s">
        <v>333</v>
      </c>
      <c r="B126" s="12" t="s">
        <v>76</v>
      </c>
      <c r="C126" s="12" t="s">
        <v>334</v>
      </c>
      <c r="D126" s="12" t="s">
        <v>69</v>
      </c>
      <c r="E126" s="12">
        <v>3811</v>
      </c>
      <c r="F126" s="12">
        <v>866</v>
      </c>
      <c r="G126" s="12">
        <v>216</v>
      </c>
      <c r="H126" s="12">
        <v>4893</v>
      </c>
      <c r="I126" s="13">
        <v>0.14265722032712319</v>
      </c>
      <c r="J126" s="12" t="s">
        <v>61</v>
      </c>
      <c r="K126" s="12" t="s">
        <v>74</v>
      </c>
    </row>
    <row r="127" spans="1:11" x14ac:dyDescent="0.3">
      <c r="A127" s="14" t="s">
        <v>335</v>
      </c>
      <c r="B127" s="14" t="s">
        <v>70</v>
      </c>
      <c r="C127" s="14" t="s">
        <v>228</v>
      </c>
      <c r="D127" s="14" t="s">
        <v>69</v>
      </c>
      <c r="E127" s="14">
        <v>4158</v>
      </c>
      <c r="F127" s="14">
        <v>167</v>
      </c>
      <c r="G127" s="14">
        <v>241</v>
      </c>
      <c r="H127" s="14">
        <v>4566</v>
      </c>
      <c r="I127" s="15">
        <v>9.9829463465827106E-2</v>
      </c>
      <c r="J127" s="14" t="s">
        <v>78</v>
      </c>
      <c r="K127" s="14" t="s">
        <v>62</v>
      </c>
    </row>
    <row r="128" spans="1:11" x14ac:dyDescent="0.3">
      <c r="A128" s="12" t="s">
        <v>336</v>
      </c>
      <c r="B128" s="12" t="s">
        <v>64</v>
      </c>
      <c r="C128" s="12" t="s">
        <v>265</v>
      </c>
      <c r="D128" s="12" t="s">
        <v>75</v>
      </c>
      <c r="E128" s="12">
        <v>3452</v>
      </c>
      <c r="F128" s="12">
        <v>652</v>
      </c>
      <c r="G128" s="12">
        <v>442</v>
      </c>
      <c r="H128" s="12">
        <v>4546</v>
      </c>
      <c r="I128" s="13">
        <v>6.9311459413307311E-2</v>
      </c>
      <c r="J128" s="12" t="s">
        <v>67</v>
      </c>
      <c r="K128" s="12" t="s">
        <v>68</v>
      </c>
    </row>
    <row r="129" spans="1:11" x14ac:dyDescent="0.3">
      <c r="A129" s="14" t="s">
        <v>337</v>
      </c>
      <c r="B129" s="14" t="s">
        <v>76</v>
      </c>
      <c r="C129" s="14" t="s">
        <v>271</v>
      </c>
      <c r="D129" s="14" t="s">
        <v>63</v>
      </c>
      <c r="E129" s="14">
        <v>3092</v>
      </c>
      <c r="F129" s="14">
        <v>106</v>
      </c>
      <c r="G129" s="14">
        <v>291</v>
      </c>
      <c r="H129" s="14">
        <v>3489</v>
      </c>
      <c r="I129" s="15">
        <v>0.12537731780940059</v>
      </c>
      <c r="J129" s="14" t="s">
        <v>61</v>
      </c>
      <c r="K129" s="14" t="s">
        <v>79</v>
      </c>
    </row>
    <row r="130" spans="1:11" x14ac:dyDescent="0.3">
      <c r="A130" s="12" t="s">
        <v>338</v>
      </c>
      <c r="B130" s="12" t="s">
        <v>76</v>
      </c>
      <c r="C130" s="12" t="s">
        <v>125</v>
      </c>
      <c r="D130" s="12" t="s">
        <v>88</v>
      </c>
      <c r="E130" s="12">
        <v>2147</v>
      </c>
      <c r="F130" s="12">
        <v>430</v>
      </c>
      <c r="G130" s="12">
        <v>393</v>
      </c>
      <c r="H130" s="12">
        <v>2970</v>
      </c>
      <c r="I130" s="13">
        <v>0.17291569632044709</v>
      </c>
      <c r="J130" s="12" t="s">
        <v>84</v>
      </c>
      <c r="K130" s="12" t="s">
        <v>79</v>
      </c>
    </row>
    <row r="131" spans="1:11" x14ac:dyDescent="0.3">
      <c r="A131" s="14" t="s">
        <v>339</v>
      </c>
      <c r="B131" s="14" t="s">
        <v>81</v>
      </c>
      <c r="C131" s="14" t="s">
        <v>340</v>
      </c>
      <c r="D131" s="14" t="s">
        <v>75</v>
      </c>
      <c r="E131" s="14">
        <v>2936</v>
      </c>
      <c r="F131" s="14">
        <v>439</v>
      </c>
      <c r="G131" s="14">
        <v>44</v>
      </c>
      <c r="H131" s="14">
        <v>3419</v>
      </c>
      <c r="I131" s="15">
        <v>8.9577656675749323E-2</v>
      </c>
      <c r="J131" s="14" t="s">
        <v>67</v>
      </c>
      <c r="K131" s="14" t="s">
        <v>74</v>
      </c>
    </row>
    <row r="132" spans="1:11" x14ac:dyDescent="0.3">
      <c r="A132" s="12" t="s">
        <v>341</v>
      </c>
      <c r="B132" s="12" t="s">
        <v>70</v>
      </c>
      <c r="C132" s="12" t="s">
        <v>213</v>
      </c>
      <c r="D132" s="12" t="s">
        <v>75</v>
      </c>
      <c r="E132" s="12">
        <v>4840</v>
      </c>
      <c r="F132" s="12">
        <v>658</v>
      </c>
      <c r="G132" s="12">
        <v>211</v>
      </c>
      <c r="H132" s="12">
        <v>5709</v>
      </c>
      <c r="I132" s="13">
        <v>0.1310606060606061</v>
      </c>
      <c r="J132" s="12" t="s">
        <v>67</v>
      </c>
      <c r="K132" s="12" t="s">
        <v>62</v>
      </c>
    </row>
    <row r="133" spans="1:11" x14ac:dyDescent="0.3">
      <c r="A133" s="14" t="s">
        <v>342</v>
      </c>
      <c r="B133" s="14" t="s">
        <v>70</v>
      </c>
      <c r="C133" s="14" t="s">
        <v>157</v>
      </c>
      <c r="D133" s="14" t="s">
        <v>80</v>
      </c>
      <c r="E133" s="14">
        <v>1947</v>
      </c>
      <c r="F133" s="14">
        <v>842</v>
      </c>
      <c r="G133" s="14">
        <v>101</v>
      </c>
      <c r="H133" s="14">
        <v>2890</v>
      </c>
      <c r="I133" s="15">
        <v>0.13493953401503481</v>
      </c>
      <c r="J133" s="14" t="s">
        <v>78</v>
      </c>
      <c r="K133" s="14" t="s">
        <v>62</v>
      </c>
    </row>
    <row r="134" spans="1:11" x14ac:dyDescent="0.3">
      <c r="A134" s="12" t="s">
        <v>343</v>
      </c>
      <c r="B134" s="12" t="s">
        <v>64</v>
      </c>
      <c r="C134" s="12" t="s">
        <v>344</v>
      </c>
      <c r="D134" s="12" t="s">
        <v>63</v>
      </c>
      <c r="E134" s="12">
        <v>2072</v>
      </c>
      <c r="F134" s="12">
        <v>532</v>
      </c>
      <c r="G134" s="12">
        <v>71</v>
      </c>
      <c r="H134" s="12">
        <v>2675</v>
      </c>
      <c r="I134" s="13">
        <v>7.172350922350923E-2</v>
      </c>
      <c r="J134" s="12" t="s">
        <v>67</v>
      </c>
      <c r="K134" s="12" t="s">
        <v>74</v>
      </c>
    </row>
    <row r="135" spans="1:11" x14ac:dyDescent="0.3">
      <c r="A135" s="14" t="s">
        <v>345</v>
      </c>
      <c r="B135" s="14" t="s">
        <v>76</v>
      </c>
      <c r="C135" s="14" t="s">
        <v>346</v>
      </c>
      <c r="D135" s="14" t="s">
        <v>75</v>
      </c>
      <c r="E135" s="14">
        <v>3731</v>
      </c>
      <c r="F135" s="14">
        <v>115</v>
      </c>
      <c r="G135" s="14">
        <v>135</v>
      </c>
      <c r="H135" s="14">
        <v>3981</v>
      </c>
      <c r="I135" s="15">
        <v>7.1133744304476013E-2</v>
      </c>
      <c r="J135" s="14" t="s">
        <v>84</v>
      </c>
      <c r="K135" s="14" t="s">
        <v>79</v>
      </c>
    </row>
    <row r="136" spans="1:11" x14ac:dyDescent="0.3">
      <c r="A136" s="12" t="s">
        <v>347</v>
      </c>
      <c r="B136" s="12" t="s">
        <v>64</v>
      </c>
      <c r="C136" s="12" t="s">
        <v>348</v>
      </c>
      <c r="D136" s="12" t="s">
        <v>88</v>
      </c>
      <c r="E136" s="12">
        <v>4213</v>
      </c>
      <c r="F136" s="12">
        <v>253</v>
      </c>
      <c r="G136" s="12">
        <v>434</v>
      </c>
      <c r="H136" s="12">
        <v>4900</v>
      </c>
      <c r="I136" s="13">
        <v>6.461481657304112E-2</v>
      </c>
      <c r="J136" s="12" t="s">
        <v>73</v>
      </c>
      <c r="K136" s="12" t="s">
        <v>74</v>
      </c>
    </row>
    <row r="137" spans="1:11" x14ac:dyDescent="0.3">
      <c r="A137" s="14" t="s">
        <v>349</v>
      </c>
      <c r="B137" s="14" t="s">
        <v>70</v>
      </c>
      <c r="C137" s="14" t="s">
        <v>350</v>
      </c>
      <c r="D137" s="14" t="s">
        <v>88</v>
      </c>
      <c r="E137" s="14">
        <v>3134</v>
      </c>
      <c r="F137" s="14">
        <v>888</v>
      </c>
      <c r="G137" s="14">
        <v>444</v>
      </c>
      <c r="H137" s="14">
        <v>4466</v>
      </c>
      <c r="I137" s="15">
        <v>0.20357370772176131</v>
      </c>
      <c r="J137" s="14" t="s">
        <v>67</v>
      </c>
      <c r="K137" s="14" t="s">
        <v>79</v>
      </c>
    </row>
    <row r="138" spans="1:11" x14ac:dyDescent="0.3">
      <c r="A138" s="12" t="s">
        <v>351</v>
      </c>
      <c r="B138" s="12" t="s">
        <v>64</v>
      </c>
      <c r="C138" s="12" t="s">
        <v>165</v>
      </c>
      <c r="D138" s="12" t="s">
        <v>85</v>
      </c>
      <c r="E138" s="12">
        <v>3008</v>
      </c>
      <c r="F138" s="12">
        <v>94</v>
      </c>
      <c r="G138" s="12">
        <v>37</v>
      </c>
      <c r="H138" s="12">
        <v>3139</v>
      </c>
      <c r="I138" s="13">
        <v>0.20871010638297871</v>
      </c>
      <c r="J138" s="12" t="s">
        <v>84</v>
      </c>
      <c r="K138" s="12" t="s">
        <v>68</v>
      </c>
    </row>
    <row r="139" spans="1:11" x14ac:dyDescent="0.3">
      <c r="A139" s="14" t="s">
        <v>352</v>
      </c>
      <c r="B139" s="14" t="s">
        <v>76</v>
      </c>
      <c r="C139" s="14" t="s">
        <v>232</v>
      </c>
      <c r="D139" s="14" t="s">
        <v>63</v>
      </c>
      <c r="E139" s="14">
        <v>305</v>
      </c>
      <c r="F139" s="14">
        <v>187</v>
      </c>
      <c r="G139" s="14">
        <v>243</v>
      </c>
      <c r="H139" s="14">
        <v>735</v>
      </c>
      <c r="I139" s="15">
        <v>0.16065573770491801</v>
      </c>
      <c r="J139" s="14" t="s">
        <v>78</v>
      </c>
      <c r="K139" s="14" t="s">
        <v>79</v>
      </c>
    </row>
    <row r="140" spans="1:11" x14ac:dyDescent="0.3">
      <c r="A140" s="12" t="s">
        <v>353</v>
      </c>
      <c r="B140" s="12" t="s">
        <v>81</v>
      </c>
      <c r="C140" s="12" t="s">
        <v>354</v>
      </c>
      <c r="D140" s="12" t="s">
        <v>88</v>
      </c>
      <c r="E140" s="12">
        <v>2746</v>
      </c>
      <c r="F140" s="12">
        <v>156</v>
      </c>
      <c r="G140" s="12">
        <v>203</v>
      </c>
      <c r="H140" s="12">
        <v>3105</v>
      </c>
      <c r="I140" s="13">
        <v>9.422796795338674E-2</v>
      </c>
      <c r="J140" s="12" t="s">
        <v>78</v>
      </c>
      <c r="K140" s="12" t="s">
        <v>62</v>
      </c>
    </row>
    <row r="141" spans="1:11" x14ac:dyDescent="0.3">
      <c r="A141" s="14" t="s">
        <v>355</v>
      </c>
      <c r="B141" s="14" t="s">
        <v>64</v>
      </c>
      <c r="C141" s="14" t="s">
        <v>356</v>
      </c>
      <c r="D141" s="14" t="s">
        <v>63</v>
      </c>
      <c r="E141" s="14">
        <v>2291</v>
      </c>
      <c r="F141" s="14">
        <v>78</v>
      </c>
      <c r="G141" s="14">
        <v>485</v>
      </c>
      <c r="H141" s="14">
        <v>2854</v>
      </c>
      <c r="I141" s="15">
        <v>0.15571802706241819</v>
      </c>
      <c r="J141" s="14" t="s">
        <v>84</v>
      </c>
      <c r="K141" s="14" t="s">
        <v>68</v>
      </c>
    </row>
    <row r="142" spans="1:11" x14ac:dyDescent="0.3">
      <c r="A142" s="12" t="s">
        <v>357</v>
      </c>
      <c r="B142" s="12" t="s">
        <v>76</v>
      </c>
      <c r="C142" s="12" t="s">
        <v>358</v>
      </c>
      <c r="D142" s="12" t="s">
        <v>63</v>
      </c>
      <c r="E142" s="12">
        <v>3170</v>
      </c>
      <c r="F142" s="12">
        <v>857</v>
      </c>
      <c r="G142" s="12">
        <v>379</v>
      </c>
      <c r="H142" s="12">
        <v>4406</v>
      </c>
      <c r="I142" s="13">
        <v>0.2316508937960042</v>
      </c>
      <c r="J142" s="12" t="s">
        <v>67</v>
      </c>
      <c r="K142" s="12" t="s">
        <v>74</v>
      </c>
    </row>
    <row r="143" spans="1:11" x14ac:dyDescent="0.3">
      <c r="A143" s="14" t="s">
        <v>359</v>
      </c>
      <c r="B143" s="14" t="s">
        <v>81</v>
      </c>
      <c r="C143" s="14" t="s">
        <v>305</v>
      </c>
      <c r="D143" s="14" t="s">
        <v>80</v>
      </c>
      <c r="E143" s="14">
        <v>2070</v>
      </c>
      <c r="F143" s="14">
        <v>275</v>
      </c>
      <c r="G143" s="14">
        <v>386</v>
      </c>
      <c r="H143" s="14">
        <v>2731</v>
      </c>
      <c r="I143" s="15">
        <v>6.9438087973557078E-2</v>
      </c>
      <c r="J143" s="14" t="s">
        <v>67</v>
      </c>
      <c r="K143" s="14" t="s">
        <v>79</v>
      </c>
    </row>
    <row r="144" spans="1:11" x14ac:dyDescent="0.3">
      <c r="A144" s="12" t="s">
        <v>360</v>
      </c>
      <c r="B144" s="12" t="s">
        <v>81</v>
      </c>
      <c r="C144" s="12" t="s">
        <v>315</v>
      </c>
      <c r="D144" s="12" t="s">
        <v>69</v>
      </c>
      <c r="E144" s="12">
        <v>80</v>
      </c>
      <c r="F144" s="12">
        <v>362</v>
      </c>
      <c r="G144" s="12">
        <v>80</v>
      </c>
      <c r="H144" s="12">
        <v>522</v>
      </c>
      <c r="I144" s="13">
        <v>0.50192307692307692</v>
      </c>
      <c r="J144" s="12" t="s">
        <v>78</v>
      </c>
      <c r="K144" s="12" t="s">
        <v>62</v>
      </c>
    </row>
    <row r="145" spans="1:11" x14ac:dyDescent="0.3">
      <c r="A145" s="14" t="s">
        <v>361</v>
      </c>
      <c r="B145" s="14" t="s">
        <v>81</v>
      </c>
      <c r="C145" s="14" t="s">
        <v>245</v>
      </c>
      <c r="D145" s="14" t="s">
        <v>80</v>
      </c>
      <c r="E145" s="14">
        <v>4929</v>
      </c>
      <c r="F145" s="14">
        <v>749</v>
      </c>
      <c r="G145" s="14">
        <v>452</v>
      </c>
      <c r="H145" s="14">
        <v>6130</v>
      </c>
      <c r="I145" s="15">
        <v>6.5455787978772245E-2</v>
      </c>
      <c r="J145" s="14" t="s">
        <v>73</v>
      </c>
      <c r="K145" s="14" t="s">
        <v>68</v>
      </c>
    </row>
    <row r="146" spans="1:11" x14ac:dyDescent="0.3">
      <c r="A146" s="12" t="s">
        <v>362</v>
      </c>
      <c r="B146" s="12" t="s">
        <v>70</v>
      </c>
      <c r="C146" s="12" t="s">
        <v>109</v>
      </c>
      <c r="D146" s="12" t="s">
        <v>69</v>
      </c>
      <c r="E146" s="12">
        <v>1878</v>
      </c>
      <c r="F146" s="12">
        <v>62</v>
      </c>
      <c r="G146" s="12">
        <v>179</v>
      </c>
      <c r="H146" s="12">
        <v>2119</v>
      </c>
      <c r="I146" s="13">
        <v>5.6416400425985093E-2</v>
      </c>
      <c r="J146" s="12" t="s">
        <v>84</v>
      </c>
      <c r="K146" s="12" t="s">
        <v>68</v>
      </c>
    </row>
    <row r="147" spans="1:11" x14ac:dyDescent="0.3">
      <c r="A147" s="14" t="s">
        <v>363</v>
      </c>
      <c r="B147" s="14" t="s">
        <v>81</v>
      </c>
      <c r="C147" s="14" t="s">
        <v>364</v>
      </c>
      <c r="D147" s="14" t="s">
        <v>75</v>
      </c>
      <c r="E147" s="14">
        <v>3065</v>
      </c>
      <c r="F147" s="14">
        <v>772</v>
      </c>
      <c r="G147" s="14">
        <v>142</v>
      </c>
      <c r="H147" s="14">
        <v>3979</v>
      </c>
      <c r="I147" s="15">
        <v>0.21636759108210979</v>
      </c>
      <c r="J147" s="14" t="s">
        <v>61</v>
      </c>
      <c r="K147" s="14" t="s">
        <v>68</v>
      </c>
    </row>
    <row r="148" spans="1:11" x14ac:dyDescent="0.3">
      <c r="A148" s="12" t="s">
        <v>365</v>
      </c>
      <c r="B148" s="12" t="s">
        <v>70</v>
      </c>
      <c r="C148" s="12" t="s">
        <v>213</v>
      </c>
      <c r="D148" s="12" t="s">
        <v>75</v>
      </c>
      <c r="E148" s="12">
        <v>3256</v>
      </c>
      <c r="F148" s="12">
        <v>459</v>
      </c>
      <c r="G148" s="12">
        <v>266</v>
      </c>
      <c r="H148" s="12">
        <v>3981</v>
      </c>
      <c r="I148" s="13">
        <v>0.15283323095823101</v>
      </c>
      <c r="J148" s="12" t="s">
        <v>67</v>
      </c>
      <c r="K148" s="12" t="s">
        <v>74</v>
      </c>
    </row>
    <row r="149" spans="1:11" x14ac:dyDescent="0.3">
      <c r="A149" s="14" t="s">
        <v>366</v>
      </c>
      <c r="B149" s="14" t="s">
        <v>70</v>
      </c>
      <c r="C149" s="14" t="s">
        <v>215</v>
      </c>
      <c r="D149" s="14" t="s">
        <v>85</v>
      </c>
      <c r="E149" s="14">
        <v>4133</v>
      </c>
      <c r="F149" s="14">
        <v>466</v>
      </c>
      <c r="G149" s="14">
        <v>327</v>
      </c>
      <c r="H149" s="14">
        <v>4926</v>
      </c>
      <c r="I149" s="15">
        <v>0.1986450520203242</v>
      </c>
      <c r="J149" s="14" t="s">
        <v>61</v>
      </c>
      <c r="K149" s="14" t="s">
        <v>62</v>
      </c>
    </row>
    <row r="150" spans="1:11" x14ac:dyDescent="0.3">
      <c r="A150" s="12" t="s">
        <v>367</v>
      </c>
      <c r="B150" s="12" t="s">
        <v>76</v>
      </c>
      <c r="C150" s="12" t="s">
        <v>368</v>
      </c>
      <c r="D150" s="12" t="s">
        <v>85</v>
      </c>
      <c r="E150" s="12">
        <v>1702</v>
      </c>
      <c r="F150" s="12">
        <v>750</v>
      </c>
      <c r="G150" s="12">
        <v>179</v>
      </c>
      <c r="H150" s="12">
        <v>2631</v>
      </c>
      <c r="I150" s="13">
        <v>7.7291421856639245E-2</v>
      </c>
      <c r="J150" s="12" t="s">
        <v>73</v>
      </c>
      <c r="K150" s="12" t="s">
        <v>74</v>
      </c>
    </row>
    <row r="151" spans="1:11" x14ac:dyDescent="0.3">
      <c r="A151" s="14" t="s">
        <v>369</v>
      </c>
      <c r="B151" s="14" t="s">
        <v>81</v>
      </c>
      <c r="C151" s="14" t="s">
        <v>370</v>
      </c>
      <c r="D151" s="14" t="s">
        <v>69</v>
      </c>
      <c r="E151" s="14">
        <v>4295</v>
      </c>
      <c r="F151" s="14">
        <v>853</v>
      </c>
      <c r="G151" s="14">
        <v>325</v>
      </c>
      <c r="H151" s="14">
        <v>5473</v>
      </c>
      <c r="I151" s="15">
        <v>6.3713620488940623E-2</v>
      </c>
      <c r="J151" s="14" t="s">
        <v>73</v>
      </c>
      <c r="K151" s="14" t="s">
        <v>62</v>
      </c>
    </row>
    <row r="152" spans="1:11" x14ac:dyDescent="0.3">
      <c r="A152" s="12" t="s">
        <v>371</v>
      </c>
      <c r="B152" s="12" t="s">
        <v>70</v>
      </c>
      <c r="C152" s="12" t="s">
        <v>230</v>
      </c>
      <c r="D152" s="12" t="s">
        <v>63</v>
      </c>
      <c r="E152" s="12">
        <v>3559</v>
      </c>
      <c r="F152" s="12">
        <v>59</v>
      </c>
      <c r="G152" s="12">
        <v>289</v>
      </c>
      <c r="H152" s="12">
        <v>3907</v>
      </c>
      <c r="I152" s="13">
        <v>0.1097780275358247</v>
      </c>
      <c r="J152" s="12" t="s">
        <v>73</v>
      </c>
      <c r="K152" s="12" t="s">
        <v>74</v>
      </c>
    </row>
    <row r="153" spans="1:11" x14ac:dyDescent="0.3">
      <c r="A153" s="14" t="s">
        <v>372</v>
      </c>
      <c r="B153" s="14" t="s">
        <v>64</v>
      </c>
      <c r="C153" s="14" t="s">
        <v>373</v>
      </c>
      <c r="D153" s="14" t="s">
        <v>63</v>
      </c>
      <c r="E153" s="14">
        <v>4804</v>
      </c>
      <c r="F153" s="14">
        <v>550</v>
      </c>
      <c r="G153" s="14">
        <v>270</v>
      </c>
      <c r="H153" s="14">
        <v>5624</v>
      </c>
      <c r="I153" s="15">
        <v>0.19511518179295029</v>
      </c>
      <c r="J153" s="14" t="s">
        <v>67</v>
      </c>
      <c r="K153" s="14" t="s">
        <v>79</v>
      </c>
    </row>
    <row r="154" spans="1:11" x14ac:dyDescent="0.3">
      <c r="A154" s="12" t="s">
        <v>374</v>
      </c>
      <c r="B154" s="12" t="s">
        <v>76</v>
      </c>
      <c r="C154" s="12" t="s">
        <v>375</v>
      </c>
      <c r="D154" s="12" t="s">
        <v>85</v>
      </c>
      <c r="E154" s="12">
        <v>754</v>
      </c>
      <c r="F154" s="12">
        <v>197</v>
      </c>
      <c r="G154" s="12">
        <v>257</v>
      </c>
      <c r="H154" s="12">
        <v>1208</v>
      </c>
      <c r="I154" s="13">
        <v>0.17801355732390209</v>
      </c>
      <c r="J154" s="12" t="s">
        <v>84</v>
      </c>
      <c r="K154" s="12" t="s">
        <v>74</v>
      </c>
    </row>
    <row r="155" spans="1:11" x14ac:dyDescent="0.3">
      <c r="A155" s="14" t="s">
        <v>376</v>
      </c>
      <c r="B155" s="14" t="s">
        <v>70</v>
      </c>
      <c r="C155" s="14" t="s">
        <v>253</v>
      </c>
      <c r="D155" s="14" t="s">
        <v>69</v>
      </c>
      <c r="E155" s="14">
        <v>985</v>
      </c>
      <c r="F155" s="14">
        <v>932</v>
      </c>
      <c r="G155" s="14">
        <v>287</v>
      </c>
      <c r="H155" s="14">
        <v>2204</v>
      </c>
      <c r="I155" s="15">
        <v>0.31965192168237849</v>
      </c>
      <c r="J155" s="14" t="s">
        <v>67</v>
      </c>
      <c r="K155" s="14" t="s">
        <v>62</v>
      </c>
    </row>
    <row r="156" spans="1:11" x14ac:dyDescent="0.3">
      <c r="A156" s="12" t="s">
        <v>377</v>
      </c>
      <c r="B156" s="12" t="s">
        <v>81</v>
      </c>
      <c r="C156" s="12" t="s">
        <v>378</v>
      </c>
      <c r="D156" s="12" t="s">
        <v>63</v>
      </c>
      <c r="E156" s="12">
        <v>2283</v>
      </c>
      <c r="F156" s="12">
        <v>210</v>
      </c>
      <c r="G156" s="12">
        <v>130</v>
      </c>
      <c r="H156" s="12">
        <v>2623</v>
      </c>
      <c r="I156" s="13">
        <v>0.1148926850635129</v>
      </c>
      <c r="J156" s="12" t="s">
        <v>78</v>
      </c>
      <c r="K156" s="12" t="s">
        <v>74</v>
      </c>
    </row>
    <row r="157" spans="1:11" x14ac:dyDescent="0.3">
      <c r="A157" s="14" t="s">
        <v>379</v>
      </c>
      <c r="B157" s="14" t="s">
        <v>64</v>
      </c>
      <c r="C157" s="14" t="s">
        <v>380</v>
      </c>
      <c r="D157" s="14" t="s">
        <v>69</v>
      </c>
      <c r="E157" s="14">
        <v>3352</v>
      </c>
      <c r="F157" s="14">
        <v>941</v>
      </c>
      <c r="G157" s="14">
        <v>482</v>
      </c>
      <c r="H157" s="14">
        <v>4775</v>
      </c>
      <c r="I157" s="15">
        <v>0.1095786671562328</v>
      </c>
      <c r="J157" s="14" t="s">
        <v>73</v>
      </c>
      <c r="K157" s="14" t="s">
        <v>74</v>
      </c>
    </row>
    <row r="158" spans="1:11" x14ac:dyDescent="0.3">
      <c r="A158" s="12" t="s">
        <v>381</v>
      </c>
      <c r="B158" s="12" t="s">
        <v>81</v>
      </c>
      <c r="C158" s="12" t="s">
        <v>382</v>
      </c>
      <c r="D158" s="12" t="s">
        <v>80</v>
      </c>
      <c r="E158" s="12">
        <v>4775</v>
      </c>
      <c r="F158" s="12">
        <v>173</v>
      </c>
      <c r="G158" s="12">
        <v>206</v>
      </c>
      <c r="H158" s="12">
        <v>5154</v>
      </c>
      <c r="I158" s="13">
        <v>0.1079371727748691</v>
      </c>
      <c r="J158" s="12" t="s">
        <v>61</v>
      </c>
      <c r="K158" s="12" t="s">
        <v>79</v>
      </c>
    </row>
    <row r="159" spans="1:11" x14ac:dyDescent="0.3">
      <c r="A159" s="14" t="s">
        <v>383</v>
      </c>
      <c r="B159" s="14" t="s">
        <v>70</v>
      </c>
      <c r="C159" s="14" t="s">
        <v>384</v>
      </c>
      <c r="D159" s="14" t="s">
        <v>80</v>
      </c>
      <c r="E159" s="14">
        <v>1762</v>
      </c>
      <c r="F159" s="14">
        <v>405</v>
      </c>
      <c r="G159" s="14">
        <v>423</v>
      </c>
      <c r="H159" s="14">
        <v>2590</v>
      </c>
      <c r="I159" s="15">
        <v>0.1130708111411857</v>
      </c>
      <c r="J159" s="14" t="s">
        <v>84</v>
      </c>
      <c r="K159" s="14" t="s">
        <v>62</v>
      </c>
    </row>
    <row r="160" spans="1:11" x14ac:dyDescent="0.3">
      <c r="A160" s="12" t="s">
        <v>385</v>
      </c>
      <c r="B160" s="12" t="s">
        <v>64</v>
      </c>
      <c r="C160" s="12" t="s">
        <v>179</v>
      </c>
      <c r="D160" s="12" t="s">
        <v>80</v>
      </c>
      <c r="E160" s="12">
        <v>2120</v>
      </c>
      <c r="F160" s="12">
        <v>158</v>
      </c>
      <c r="G160" s="12">
        <v>488</v>
      </c>
      <c r="H160" s="12">
        <v>2766</v>
      </c>
      <c r="I160" s="13">
        <v>0.21745283018867931</v>
      </c>
      <c r="J160" s="12" t="s">
        <v>61</v>
      </c>
      <c r="K160" s="12" t="s">
        <v>62</v>
      </c>
    </row>
    <row r="161" spans="1:11" x14ac:dyDescent="0.3">
      <c r="A161" s="14" t="s">
        <v>386</v>
      </c>
      <c r="B161" s="14" t="s">
        <v>76</v>
      </c>
      <c r="C161" s="14" t="s">
        <v>387</v>
      </c>
      <c r="D161" s="14" t="s">
        <v>85</v>
      </c>
      <c r="E161" s="14">
        <v>1082</v>
      </c>
      <c r="F161" s="14">
        <v>209</v>
      </c>
      <c r="G161" s="14">
        <v>484</v>
      </c>
      <c r="H161" s="14">
        <v>1775</v>
      </c>
      <c r="I161" s="15">
        <v>9.1137810638734856E-2</v>
      </c>
      <c r="J161" s="14" t="s">
        <v>61</v>
      </c>
      <c r="K161" s="14" t="s">
        <v>79</v>
      </c>
    </row>
    <row r="162" spans="1:11" x14ac:dyDescent="0.3">
      <c r="A162" s="12" t="s">
        <v>388</v>
      </c>
      <c r="B162" s="12" t="s">
        <v>76</v>
      </c>
      <c r="C162" s="12" t="s">
        <v>389</v>
      </c>
      <c r="D162" s="12" t="s">
        <v>88</v>
      </c>
      <c r="E162" s="12">
        <v>4671</v>
      </c>
      <c r="F162" s="12">
        <v>876</v>
      </c>
      <c r="G162" s="12">
        <v>366</v>
      </c>
      <c r="H162" s="12">
        <v>5913</v>
      </c>
      <c r="I162" s="13">
        <v>0.1150814503415659</v>
      </c>
      <c r="J162" s="12" t="s">
        <v>67</v>
      </c>
      <c r="K162" s="12" t="s">
        <v>62</v>
      </c>
    </row>
    <row r="163" spans="1:11" x14ac:dyDescent="0.3">
      <c r="A163" s="14" t="s">
        <v>390</v>
      </c>
      <c r="B163" s="14" t="s">
        <v>64</v>
      </c>
      <c r="C163" s="14" t="s">
        <v>391</v>
      </c>
      <c r="D163" s="14" t="s">
        <v>80</v>
      </c>
      <c r="E163" s="14">
        <v>3430</v>
      </c>
      <c r="F163" s="14">
        <v>566</v>
      </c>
      <c r="G163" s="14">
        <v>164</v>
      </c>
      <c r="H163" s="14">
        <v>4160</v>
      </c>
      <c r="I163" s="15">
        <v>8.6630570595585168E-2</v>
      </c>
      <c r="J163" s="14" t="s">
        <v>73</v>
      </c>
      <c r="K163" s="14" t="s">
        <v>62</v>
      </c>
    </row>
    <row r="164" spans="1:11" x14ac:dyDescent="0.3">
      <c r="A164" s="12" t="s">
        <v>392</v>
      </c>
      <c r="B164" s="12" t="s">
        <v>70</v>
      </c>
      <c r="C164" s="12" t="s">
        <v>393</v>
      </c>
      <c r="D164" s="12" t="s">
        <v>63</v>
      </c>
      <c r="E164" s="12">
        <v>4501</v>
      </c>
      <c r="F164" s="12">
        <v>375</v>
      </c>
      <c r="G164" s="12">
        <v>323</v>
      </c>
      <c r="H164" s="12">
        <v>5199</v>
      </c>
      <c r="I164" s="13">
        <v>0.231015329926683</v>
      </c>
      <c r="J164" s="12" t="s">
        <v>78</v>
      </c>
      <c r="K164" s="12" t="s">
        <v>79</v>
      </c>
    </row>
    <row r="165" spans="1:11" x14ac:dyDescent="0.3">
      <c r="A165" s="14" t="s">
        <v>394</v>
      </c>
      <c r="B165" s="14" t="s">
        <v>81</v>
      </c>
      <c r="C165" s="14" t="s">
        <v>145</v>
      </c>
      <c r="D165" s="14" t="s">
        <v>88</v>
      </c>
      <c r="E165" s="14">
        <v>4934</v>
      </c>
      <c r="F165" s="14">
        <v>971</v>
      </c>
      <c r="G165" s="14">
        <v>156</v>
      </c>
      <c r="H165" s="14">
        <v>6061</v>
      </c>
      <c r="I165" s="15">
        <v>0.1535518848804216</v>
      </c>
      <c r="J165" s="14" t="s">
        <v>84</v>
      </c>
      <c r="K165" s="14" t="s">
        <v>62</v>
      </c>
    </row>
    <row r="166" spans="1:11" x14ac:dyDescent="0.3">
      <c r="A166" s="12" t="s">
        <v>395</v>
      </c>
      <c r="B166" s="12" t="s">
        <v>76</v>
      </c>
      <c r="C166" s="12" t="s">
        <v>278</v>
      </c>
      <c r="D166" s="12" t="s">
        <v>88</v>
      </c>
      <c r="E166" s="12">
        <v>3239</v>
      </c>
      <c r="F166" s="12">
        <v>43</v>
      </c>
      <c r="G166" s="12">
        <v>211</v>
      </c>
      <c r="H166" s="12">
        <v>3493</v>
      </c>
      <c r="I166" s="13">
        <v>0.15405989502933001</v>
      </c>
      <c r="J166" s="12" t="s">
        <v>73</v>
      </c>
      <c r="K166" s="12" t="s">
        <v>62</v>
      </c>
    </row>
    <row r="167" spans="1:11" x14ac:dyDescent="0.3">
      <c r="A167" s="14" t="s">
        <v>396</v>
      </c>
      <c r="B167" s="14" t="s">
        <v>76</v>
      </c>
      <c r="C167" s="14" t="s">
        <v>129</v>
      </c>
      <c r="D167" s="14" t="s">
        <v>75</v>
      </c>
      <c r="E167" s="14">
        <v>1076</v>
      </c>
      <c r="F167" s="14">
        <v>313</v>
      </c>
      <c r="G167" s="14">
        <v>306</v>
      </c>
      <c r="H167" s="14">
        <v>1695</v>
      </c>
      <c r="I167" s="15">
        <v>0.1432071645826293</v>
      </c>
      <c r="J167" s="14" t="s">
        <v>84</v>
      </c>
      <c r="K167" s="14" t="s">
        <v>62</v>
      </c>
    </row>
    <row r="168" spans="1:11" x14ac:dyDescent="0.3">
      <c r="A168" s="12" t="s">
        <v>397</v>
      </c>
      <c r="B168" s="12" t="s">
        <v>70</v>
      </c>
      <c r="C168" s="12" t="s">
        <v>348</v>
      </c>
      <c r="D168" s="12" t="s">
        <v>88</v>
      </c>
      <c r="E168" s="12">
        <v>4771</v>
      </c>
      <c r="F168" s="12">
        <v>818</v>
      </c>
      <c r="G168" s="12">
        <v>56</v>
      </c>
      <c r="H168" s="12">
        <v>5645</v>
      </c>
      <c r="I168" s="13">
        <v>9.859917557465242E-2</v>
      </c>
      <c r="J168" s="12" t="s">
        <v>67</v>
      </c>
      <c r="K168" s="12" t="s">
        <v>62</v>
      </c>
    </row>
    <row r="169" spans="1:11" x14ac:dyDescent="0.3">
      <c r="A169" s="14" t="s">
        <v>398</v>
      </c>
      <c r="B169" s="14" t="s">
        <v>64</v>
      </c>
      <c r="C169" s="14" t="s">
        <v>399</v>
      </c>
      <c r="D169" s="14" t="s">
        <v>88</v>
      </c>
      <c r="E169" s="14">
        <v>2418</v>
      </c>
      <c r="F169" s="14">
        <v>754</v>
      </c>
      <c r="G169" s="14">
        <v>54</v>
      </c>
      <c r="H169" s="14">
        <v>3226</v>
      </c>
      <c r="I169" s="15">
        <v>7.412002573292896E-2</v>
      </c>
      <c r="J169" s="14" t="s">
        <v>78</v>
      </c>
      <c r="K169" s="14" t="s">
        <v>79</v>
      </c>
    </row>
    <row r="170" spans="1:11" x14ac:dyDescent="0.3">
      <c r="A170" s="12" t="s">
        <v>400</v>
      </c>
      <c r="B170" s="12" t="s">
        <v>81</v>
      </c>
      <c r="C170" s="12" t="s">
        <v>401</v>
      </c>
      <c r="D170" s="12" t="s">
        <v>85</v>
      </c>
      <c r="E170" s="12">
        <v>3809</v>
      </c>
      <c r="F170" s="12">
        <v>273</v>
      </c>
      <c r="G170" s="12">
        <v>200</v>
      </c>
      <c r="H170" s="12">
        <v>4282</v>
      </c>
      <c r="I170" s="13">
        <v>0.1249088416323911</v>
      </c>
      <c r="J170" s="12" t="s">
        <v>73</v>
      </c>
      <c r="K170" s="12" t="s">
        <v>74</v>
      </c>
    </row>
    <row r="171" spans="1:11" x14ac:dyDescent="0.3">
      <c r="A171" s="14" t="s">
        <v>402</v>
      </c>
      <c r="B171" s="14" t="s">
        <v>76</v>
      </c>
      <c r="C171" s="14" t="s">
        <v>403</v>
      </c>
      <c r="D171" s="14" t="s">
        <v>88</v>
      </c>
      <c r="E171" s="14">
        <v>3577</v>
      </c>
      <c r="F171" s="14">
        <v>596</v>
      </c>
      <c r="G171" s="14">
        <v>493</v>
      </c>
      <c r="H171" s="14">
        <v>4666</v>
      </c>
      <c r="I171" s="15">
        <v>6.8655003457763777E-2</v>
      </c>
      <c r="J171" s="14" t="s">
        <v>61</v>
      </c>
      <c r="K171" s="14" t="s">
        <v>79</v>
      </c>
    </row>
    <row r="172" spans="1:11" x14ac:dyDescent="0.3">
      <c r="A172" s="12" t="s">
        <v>404</v>
      </c>
      <c r="B172" s="12" t="s">
        <v>81</v>
      </c>
      <c r="C172" s="12" t="s">
        <v>405</v>
      </c>
      <c r="D172" s="12" t="s">
        <v>85</v>
      </c>
      <c r="E172" s="12">
        <v>1018</v>
      </c>
      <c r="F172" s="12">
        <v>447</v>
      </c>
      <c r="G172" s="12">
        <v>332</v>
      </c>
      <c r="H172" s="12">
        <v>1797</v>
      </c>
      <c r="I172" s="13">
        <v>9.8068107400130972E-2</v>
      </c>
      <c r="J172" s="12" t="s">
        <v>67</v>
      </c>
      <c r="K172" s="12" t="s">
        <v>79</v>
      </c>
    </row>
    <row r="173" spans="1:11" x14ac:dyDescent="0.3">
      <c r="A173" s="14" t="s">
        <v>406</v>
      </c>
      <c r="B173" s="14" t="s">
        <v>64</v>
      </c>
      <c r="C173" s="14" t="s">
        <v>407</v>
      </c>
      <c r="D173" s="14" t="s">
        <v>69</v>
      </c>
      <c r="E173" s="14">
        <v>3073</v>
      </c>
      <c r="F173" s="14">
        <v>553</v>
      </c>
      <c r="G173" s="14">
        <v>174</v>
      </c>
      <c r="H173" s="14">
        <v>3800</v>
      </c>
      <c r="I173" s="15">
        <v>7.2739802071170159E-2</v>
      </c>
      <c r="J173" s="14" t="s">
        <v>78</v>
      </c>
      <c r="K173" s="14" t="s">
        <v>79</v>
      </c>
    </row>
    <row r="174" spans="1:11" x14ac:dyDescent="0.3">
      <c r="A174" s="12" t="s">
        <v>408</v>
      </c>
      <c r="B174" s="12" t="s">
        <v>76</v>
      </c>
      <c r="C174" s="12" t="s">
        <v>409</v>
      </c>
      <c r="D174" s="12" t="s">
        <v>85</v>
      </c>
      <c r="E174" s="12">
        <v>1330</v>
      </c>
      <c r="F174" s="12">
        <v>925</v>
      </c>
      <c r="G174" s="12">
        <v>35</v>
      </c>
      <c r="H174" s="12">
        <v>2290</v>
      </c>
      <c r="I174" s="13">
        <v>0.14348370927318299</v>
      </c>
      <c r="J174" s="12" t="s">
        <v>84</v>
      </c>
      <c r="K174" s="12" t="s">
        <v>79</v>
      </c>
    </row>
    <row r="175" spans="1:11" x14ac:dyDescent="0.3">
      <c r="A175" s="14" t="s">
        <v>410</v>
      </c>
      <c r="B175" s="14" t="s">
        <v>64</v>
      </c>
      <c r="C175" s="14" t="s">
        <v>217</v>
      </c>
      <c r="D175" s="14" t="s">
        <v>88</v>
      </c>
      <c r="E175" s="14">
        <v>3828</v>
      </c>
      <c r="F175" s="14">
        <v>148</v>
      </c>
      <c r="G175" s="14">
        <v>253</v>
      </c>
      <c r="H175" s="14">
        <v>4229</v>
      </c>
      <c r="I175" s="15">
        <v>0.13809430512016721</v>
      </c>
      <c r="J175" s="14" t="s">
        <v>67</v>
      </c>
      <c r="K175" s="14" t="s">
        <v>79</v>
      </c>
    </row>
    <row r="176" spans="1:11" x14ac:dyDescent="0.3">
      <c r="A176" s="12" t="s">
        <v>411</v>
      </c>
      <c r="B176" s="12" t="s">
        <v>70</v>
      </c>
      <c r="C176" s="12" t="s">
        <v>412</v>
      </c>
      <c r="D176" s="12" t="s">
        <v>75</v>
      </c>
      <c r="E176" s="12">
        <v>142</v>
      </c>
      <c r="F176" s="12">
        <v>784</v>
      </c>
      <c r="G176" s="12">
        <v>183</v>
      </c>
      <c r="H176" s="12">
        <v>1109</v>
      </c>
      <c r="I176" s="13">
        <v>0.6508215962441315</v>
      </c>
      <c r="J176" s="12" t="s">
        <v>67</v>
      </c>
      <c r="K176" s="12" t="s">
        <v>68</v>
      </c>
    </row>
    <row r="177" spans="1:11" x14ac:dyDescent="0.3">
      <c r="A177" s="14" t="s">
        <v>413</v>
      </c>
      <c r="B177" s="14" t="s">
        <v>64</v>
      </c>
      <c r="C177" s="14" t="s">
        <v>414</v>
      </c>
      <c r="D177" s="14" t="s">
        <v>85</v>
      </c>
      <c r="E177" s="14">
        <v>3798</v>
      </c>
      <c r="F177" s="14">
        <v>31</v>
      </c>
      <c r="G177" s="14">
        <v>279</v>
      </c>
      <c r="H177" s="14">
        <v>4108</v>
      </c>
      <c r="I177" s="15">
        <v>5.4081095313322801E-2</v>
      </c>
      <c r="J177" s="14" t="s">
        <v>78</v>
      </c>
      <c r="K177" s="14" t="s">
        <v>62</v>
      </c>
    </row>
    <row r="178" spans="1:11" x14ac:dyDescent="0.3">
      <c r="A178" s="12" t="s">
        <v>415</v>
      </c>
      <c r="B178" s="12" t="s">
        <v>70</v>
      </c>
      <c r="C178" s="12" t="s">
        <v>416</v>
      </c>
      <c r="D178" s="12" t="s">
        <v>69</v>
      </c>
      <c r="E178" s="12">
        <v>3099</v>
      </c>
      <c r="F178" s="12">
        <v>694</v>
      </c>
      <c r="G178" s="12">
        <v>171</v>
      </c>
      <c r="H178" s="12">
        <v>3964</v>
      </c>
      <c r="I178" s="13">
        <v>9.1365878393951966E-2</v>
      </c>
      <c r="J178" s="12" t="s">
        <v>84</v>
      </c>
      <c r="K178" s="12" t="s">
        <v>79</v>
      </c>
    </row>
    <row r="179" spans="1:11" x14ac:dyDescent="0.3">
      <c r="A179" s="14" t="s">
        <v>417</v>
      </c>
      <c r="B179" s="14" t="s">
        <v>70</v>
      </c>
      <c r="C179" s="14" t="s">
        <v>249</v>
      </c>
      <c r="D179" s="14" t="s">
        <v>85</v>
      </c>
      <c r="E179" s="14">
        <v>129</v>
      </c>
      <c r="F179" s="14">
        <v>643</v>
      </c>
      <c r="G179" s="14">
        <v>136</v>
      </c>
      <c r="H179" s="14">
        <v>908</v>
      </c>
      <c r="I179" s="15">
        <v>0.70387596899224802</v>
      </c>
      <c r="J179" s="14" t="s">
        <v>61</v>
      </c>
      <c r="K179" s="14" t="s">
        <v>79</v>
      </c>
    </row>
    <row r="180" spans="1:11" x14ac:dyDescent="0.3">
      <c r="A180" s="12" t="s">
        <v>418</v>
      </c>
      <c r="B180" s="12" t="s">
        <v>64</v>
      </c>
      <c r="C180" s="12" t="s">
        <v>356</v>
      </c>
      <c r="D180" s="12" t="s">
        <v>69</v>
      </c>
      <c r="E180" s="12">
        <v>3796</v>
      </c>
      <c r="F180" s="12">
        <v>667</v>
      </c>
      <c r="G180" s="12">
        <v>395</v>
      </c>
      <c r="H180" s="12">
        <v>4858</v>
      </c>
      <c r="I180" s="13">
        <v>7.5280481001673588E-2</v>
      </c>
      <c r="J180" s="12" t="s">
        <v>61</v>
      </c>
      <c r="K180" s="12" t="s">
        <v>68</v>
      </c>
    </row>
    <row r="181" spans="1:11" x14ac:dyDescent="0.3">
      <c r="A181" s="14" t="s">
        <v>419</v>
      </c>
      <c r="B181" s="14" t="s">
        <v>81</v>
      </c>
      <c r="C181" s="14" t="s">
        <v>401</v>
      </c>
      <c r="D181" s="14" t="s">
        <v>88</v>
      </c>
      <c r="E181" s="14">
        <v>3711</v>
      </c>
      <c r="F181" s="14">
        <v>352</v>
      </c>
      <c r="G181" s="14">
        <v>290</v>
      </c>
      <c r="H181" s="14">
        <v>4353</v>
      </c>
      <c r="I181" s="15">
        <v>9.023070704558174E-2</v>
      </c>
      <c r="J181" s="14" t="s">
        <v>61</v>
      </c>
      <c r="K181" s="14" t="s">
        <v>79</v>
      </c>
    </row>
    <row r="182" spans="1:11" x14ac:dyDescent="0.3">
      <c r="A182" s="12" t="s">
        <v>420</v>
      </c>
      <c r="B182" s="12" t="s">
        <v>81</v>
      </c>
      <c r="C182" s="12" t="s">
        <v>421</v>
      </c>
      <c r="D182" s="12" t="s">
        <v>63</v>
      </c>
      <c r="E182" s="12">
        <v>606</v>
      </c>
      <c r="F182" s="12">
        <v>789</v>
      </c>
      <c r="G182" s="12">
        <v>470</v>
      </c>
      <c r="H182" s="12">
        <v>1865</v>
      </c>
      <c r="I182" s="13">
        <v>0.2367352119827367</v>
      </c>
      <c r="J182" s="12" t="s">
        <v>67</v>
      </c>
      <c r="K182" s="12" t="s">
        <v>62</v>
      </c>
    </row>
    <row r="183" spans="1:11" x14ac:dyDescent="0.3">
      <c r="A183" s="14" t="s">
        <v>422</v>
      </c>
      <c r="B183" s="14" t="s">
        <v>64</v>
      </c>
      <c r="C183" s="14" t="s">
        <v>165</v>
      </c>
      <c r="D183" s="14" t="s">
        <v>63</v>
      </c>
      <c r="E183" s="14">
        <v>4689</v>
      </c>
      <c r="F183" s="14">
        <v>134</v>
      </c>
      <c r="G183" s="14">
        <v>403</v>
      </c>
      <c r="H183" s="14">
        <v>5226</v>
      </c>
      <c r="I183" s="15">
        <v>0.1013203047751992</v>
      </c>
      <c r="J183" s="14" t="s">
        <v>84</v>
      </c>
      <c r="K183" s="14" t="s">
        <v>68</v>
      </c>
    </row>
    <row r="184" spans="1:11" x14ac:dyDescent="0.3">
      <c r="A184" s="12" t="s">
        <v>423</v>
      </c>
      <c r="B184" s="12" t="s">
        <v>70</v>
      </c>
      <c r="C184" s="12" t="s">
        <v>424</v>
      </c>
      <c r="D184" s="12" t="s">
        <v>80</v>
      </c>
      <c r="E184" s="12">
        <v>360</v>
      </c>
      <c r="F184" s="12">
        <v>590</v>
      </c>
      <c r="G184" s="12">
        <v>393</v>
      </c>
      <c r="H184" s="12">
        <v>1343</v>
      </c>
      <c r="I184" s="13">
        <v>0.28696581196581189</v>
      </c>
      <c r="J184" s="12" t="s">
        <v>61</v>
      </c>
      <c r="K184" s="12" t="s">
        <v>62</v>
      </c>
    </row>
    <row r="185" spans="1:11" x14ac:dyDescent="0.3">
      <c r="A185" s="14" t="s">
        <v>425</v>
      </c>
      <c r="B185" s="14" t="s">
        <v>76</v>
      </c>
      <c r="C185" s="14" t="s">
        <v>426</v>
      </c>
      <c r="D185" s="14" t="s">
        <v>63</v>
      </c>
      <c r="E185" s="14">
        <v>3215</v>
      </c>
      <c r="F185" s="14">
        <v>960</v>
      </c>
      <c r="G185" s="14">
        <v>202</v>
      </c>
      <c r="H185" s="14">
        <v>4377</v>
      </c>
      <c r="I185" s="15">
        <v>0.1361430793157076</v>
      </c>
      <c r="J185" s="14" t="s">
        <v>61</v>
      </c>
      <c r="K185" s="14" t="s">
        <v>74</v>
      </c>
    </row>
    <row r="186" spans="1:11" x14ac:dyDescent="0.3">
      <c r="A186" s="12" t="s">
        <v>427</v>
      </c>
      <c r="B186" s="12" t="s">
        <v>70</v>
      </c>
      <c r="C186" s="12" t="s">
        <v>428</v>
      </c>
      <c r="D186" s="12" t="s">
        <v>69</v>
      </c>
      <c r="E186" s="12">
        <v>4523</v>
      </c>
      <c r="F186" s="12">
        <v>61</v>
      </c>
      <c r="G186" s="12">
        <v>157</v>
      </c>
      <c r="H186" s="12">
        <v>4741</v>
      </c>
      <c r="I186" s="13">
        <v>9.5290736237010829E-2</v>
      </c>
      <c r="J186" s="12" t="s">
        <v>67</v>
      </c>
      <c r="K186" s="12" t="s">
        <v>79</v>
      </c>
    </row>
    <row r="187" spans="1:11" x14ac:dyDescent="0.3">
      <c r="A187" s="14" t="s">
        <v>429</v>
      </c>
      <c r="B187" s="14" t="s">
        <v>64</v>
      </c>
      <c r="C187" s="14" t="s">
        <v>387</v>
      </c>
      <c r="D187" s="14" t="s">
        <v>69</v>
      </c>
      <c r="E187" s="14">
        <v>4292</v>
      </c>
      <c r="F187" s="14">
        <v>51</v>
      </c>
      <c r="G187" s="14">
        <v>392</v>
      </c>
      <c r="H187" s="14">
        <v>4735</v>
      </c>
      <c r="I187" s="15">
        <v>8.4862714173059003E-2</v>
      </c>
      <c r="J187" s="14" t="s">
        <v>73</v>
      </c>
      <c r="K187" s="14" t="s">
        <v>68</v>
      </c>
    </row>
    <row r="188" spans="1:11" x14ac:dyDescent="0.3">
      <c r="A188" s="12" t="s">
        <v>430</v>
      </c>
      <c r="B188" s="12" t="s">
        <v>76</v>
      </c>
      <c r="C188" s="12" t="s">
        <v>431</v>
      </c>
      <c r="D188" s="12" t="s">
        <v>75</v>
      </c>
      <c r="E188" s="12">
        <v>1644</v>
      </c>
      <c r="F188" s="12">
        <v>546</v>
      </c>
      <c r="G188" s="12">
        <v>150</v>
      </c>
      <c r="H188" s="12">
        <v>2340</v>
      </c>
      <c r="I188" s="13">
        <v>8.3726921425504502E-2</v>
      </c>
      <c r="J188" s="12" t="s">
        <v>67</v>
      </c>
      <c r="K188" s="12" t="s">
        <v>68</v>
      </c>
    </row>
    <row r="189" spans="1:11" x14ac:dyDescent="0.3">
      <c r="A189" s="14" t="s">
        <v>432</v>
      </c>
      <c r="B189" s="14" t="s">
        <v>81</v>
      </c>
      <c r="C189" s="14" t="s">
        <v>267</v>
      </c>
      <c r="D189" s="14" t="s">
        <v>75</v>
      </c>
      <c r="E189" s="14">
        <v>2728</v>
      </c>
      <c r="F189" s="14">
        <v>533</v>
      </c>
      <c r="G189" s="14">
        <v>215</v>
      </c>
      <c r="H189" s="14">
        <v>3476</v>
      </c>
      <c r="I189" s="15">
        <v>8.4946236559139784E-2</v>
      </c>
      <c r="J189" s="14" t="s">
        <v>67</v>
      </c>
      <c r="K189" s="14" t="s">
        <v>62</v>
      </c>
    </row>
    <row r="190" spans="1:11" x14ac:dyDescent="0.3">
      <c r="A190" s="12" t="s">
        <v>433</v>
      </c>
      <c r="B190" s="12" t="s">
        <v>64</v>
      </c>
      <c r="C190" s="12" t="s">
        <v>275</v>
      </c>
      <c r="D190" s="12" t="s">
        <v>75</v>
      </c>
      <c r="E190" s="12">
        <v>3360</v>
      </c>
      <c r="F190" s="12">
        <v>525</v>
      </c>
      <c r="G190" s="12">
        <v>500</v>
      </c>
      <c r="H190" s="12">
        <v>4385</v>
      </c>
      <c r="I190" s="13">
        <v>7.2503306878306875E-2</v>
      </c>
      <c r="J190" s="12" t="s">
        <v>67</v>
      </c>
      <c r="K190" s="12" t="s">
        <v>68</v>
      </c>
    </row>
    <row r="191" spans="1:11" x14ac:dyDescent="0.3">
      <c r="A191" s="14" t="s">
        <v>434</v>
      </c>
      <c r="B191" s="14" t="s">
        <v>81</v>
      </c>
      <c r="C191" s="14" t="s">
        <v>435</v>
      </c>
      <c r="D191" s="14" t="s">
        <v>88</v>
      </c>
      <c r="E191" s="14">
        <v>1963</v>
      </c>
      <c r="F191" s="14">
        <v>213</v>
      </c>
      <c r="G191" s="14">
        <v>19</v>
      </c>
      <c r="H191" s="14">
        <v>2195</v>
      </c>
      <c r="I191" s="15">
        <v>5.5909322465613857E-2</v>
      </c>
      <c r="J191" s="14" t="s">
        <v>61</v>
      </c>
      <c r="K191" s="14" t="s">
        <v>68</v>
      </c>
    </row>
    <row r="192" spans="1:11" x14ac:dyDescent="0.3">
      <c r="A192" s="12" t="s">
        <v>436</v>
      </c>
      <c r="B192" s="12" t="s">
        <v>81</v>
      </c>
      <c r="C192" s="12" t="s">
        <v>401</v>
      </c>
      <c r="D192" s="12" t="s">
        <v>80</v>
      </c>
      <c r="E192" s="12">
        <v>4285</v>
      </c>
      <c r="F192" s="12">
        <v>886</v>
      </c>
      <c r="G192" s="12">
        <v>376</v>
      </c>
      <c r="H192" s="12">
        <v>5547</v>
      </c>
      <c r="I192" s="13">
        <v>9.9578134817341346E-2</v>
      </c>
      <c r="J192" s="12" t="s">
        <v>78</v>
      </c>
      <c r="K192" s="12" t="s">
        <v>79</v>
      </c>
    </row>
    <row r="193" spans="1:11" x14ac:dyDescent="0.3">
      <c r="A193" s="14" t="s">
        <v>437</v>
      </c>
      <c r="B193" s="14" t="s">
        <v>70</v>
      </c>
      <c r="C193" s="14" t="s">
        <v>438</v>
      </c>
      <c r="D193" s="14" t="s">
        <v>85</v>
      </c>
      <c r="E193" s="14">
        <v>1176</v>
      </c>
      <c r="F193" s="14">
        <v>464</v>
      </c>
      <c r="G193" s="14">
        <v>394</v>
      </c>
      <c r="H193" s="14">
        <v>2034</v>
      </c>
      <c r="I193" s="15">
        <v>0.1441326530612245</v>
      </c>
      <c r="J193" s="14" t="s">
        <v>84</v>
      </c>
      <c r="K193" s="14" t="s">
        <v>68</v>
      </c>
    </row>
    <row r="194" spans="1:11" x14ac:dyDescent="0.3">
      <c r="A194" s="12" t="s">
        <v>439</v>
      </c>
      <c r="B194" s="12" t="s">
        <v>76</v>
      </c>
      <c r="C194" s="12" t="s">
        <v>440</v>
      </c>
      <c r="D194" s="12" t="s">
        <v>63</v>
      </c>
      <c r="E194" s="12">
        <v>4858</v>
      </c>
      <c r="F194" s="12">
        <v>317</v>
      </c>
      <c r="G194" s="12">
        <v>129</v>
      </c>
      <c r="H194" s="12">
        <v>5304</v>
      </c>
      <c r="I194" s="13">
        <v>9.9255211647142488E-2</v>
      </c>
      <c r="J194" s="12" t="s">
        <v>84</v>
      </c>
      <c r="K194" s="12" t="s">
        <v>68</v>
      </c>
    </row>
    <row r="195" spans="1:11" x14ac:dyDescent="0.3">
      <c r="A195" s="14" t="s">
        <v>441</v>
      </c>
      <c r="B195" s="14" t="s">
        <v>81</v>
      </c>
      <c r="C195" s="14" t="s">
        <v>315</v>
      </c>
      <c r="D195" s="14" t="s">
        <v>80</v>
      </c>
      <c r="E195" s="14">
        <v>4350</v>
      </c>
      <c r="F195" s="14">
        <v>771</v>
      </c>
      <c r="G195" s="14">
        <v>7</v>
      </c>
      <c r="H195" s="14">
        <v>5128</v>
      </c>
      <c r="I195" s="15">
        <v>8.4203612479474554E-2</v>
      </c>
      <c r="J195" s="14" t="s">
        <v>84</v>
      </c>
      <c r="K195" s="14" t="s">
        <v>62</v>
      </c>
    </row>
    <row r="196" spans="1:11" x14ac:dyDescent="0.3">
      <c r="A196" s="12" t="s">
        <v>442</v>
      </c>
      <c r="B196" s="12" t="s">
        <v>70</v>
      </c>
      <c r="C196" s="12" t="s">
        <v>443</v>
      </c>
      <c r="D196" s="12" t="s">
        <v>69</v>
      </c>
      <c r="E196" s="12">
        <v>914</v>
      </c>
      <c r="F196" s="12">
        <v>464</v>
      </c>
      <c r="G196" s="12">
        <v>246</v>
      </c>
      <c r="H196" s="12">
        <v>1624</v>
      </c>
      <c r="I196" s="13">
        <v>0.13667732704931829</v>
      </c>
      <c r="J196" s="12" t="s">
        <v>78</v>
      </c>
      <c r="K196" s="12" t="s">
        <v>74</v>
      </c>
    </row>
    <row r="197" spans="1:11" x14ac:dyDescent="0.3">
      <c r="A197" s="14" t="s">
        <v>444</v>
      </c>
      <c r="B197" s="14" t="s">
        <v>70</v>
      </c>
      <c r="C197" s="14" t="s">
        <v>445</v>
      </c>
      <c r="D197" s="14" t="s">
        <v>88</v>
      </c>
      <c r="E197" s="14">
        <v>1813</v>
      </c>
      <c r="F197" s="14">
        <v>623</v>
      </c>
      <c r="G197" s="14">
        <v>72</v>
      </c>
      <c r="H197" s="14">
        <v>2508</v>
      </c>
      <c r="I197" s="15">
        <v>0.1257584114726972</v>
      </c>
      <c r="J197" s="14" t="s">
        <v>73</v>
      </c>
      <c r="K197" s="14" t="s">
        <v>74</v>
      </c>
    </row>
    <row r="198" spans="1:11" x14ac:dyDescent="0.3">
      <c r="A198" s="12" t="s">
        <v>446</v>
      </c>
      <c r="B198" s="12" t="s">
        <v>76</v>
      </c>
      <c r="C198" s="12" t="s">
        <v>380</v>
      </c>
      <c r="D198" s="12" t="s">
        <v>75</v>
      </c>
      <c r="E198" s="12">
        <v>4782</v>
      </c>
      <c r="F198" s="12">
        <v>721</v>
      </c>
      <c r="G198" s="12">
        <v>82</v>
      </c>
      <c r="H198" s="12">
        <v>5585</v>
      </c>
      <c r="I198" s="13">
        <v>6.4884520656164318E-2</v>
      </c>
      <c r="J198" s="12" t="s">
        <v>84</v>
      </c>
      <c r="K198" s="12" t="s">
        <v>62</v>
      </c>
    </row>
    <row r="199" spans="1:11" x14ac:dyDescent="0.3">
      <c r="A199" s="14" t="s">
        <v>447</v>
      </c>
      <c r="B199" s="14" t="s">
        <v>76</v>
      </c>
      <c r="C199" s="14" t="s">
        <v>448</v>
      </c>
      <c r="D199" s="14" t="s">
        <v>63</v>
      </c>
      <c r="E199" s="14">
        <v>1048</v>
      </c>
      <c r="F199" s="14">
        <v>374</v>
      </c>
      <c r="G199" s="14">
        <v>450</v>
      </c>
      <c r="H199" s="14">
        <v>1872</v>
      </c>
      <c r="I199" s="15">
        <v>0.19847328244274809</v>
      </c>
      <c r="J199" s="14" t="s">
        <v>73</v>
      </c>
      <c r="K199" s="14" t="s">
        <v>62</v>
      </c>
    </row>
    <row r="200" spans="1:11" x14ac:dyDescent="0.3">
      <c r="A200" s="12" t="s">
        <v>449</v>
      </c>
      <c r="B200" s="12" t="s">
        <v>81</v>
      </c>
      <c r="C200" s="12" t="s">
        <v>171</v>
      </c>
      <c r="D200" s="12" t="s">
        <v>69</v>
      </c>
      <c r="E200" s="12">
        <v>2509</v>
      </c>
      <c r="F200" s="12">
        <v>324</v>
      </c>
      <c r="G200" s="12">
        <v>171</v>
      </c>
      <c r="H200" s="12">
        <v>3004</v>
      </c>
      <c r="I200" s="13">
        <v>8.5520696919660646E-2</v>
      </c>
      <c r="J200" s="12" t="s">
        <v>84</v>
      </c>
      <c r="K200" s="12" t="s">
        <v>62</v>
      </c>
    </row>
    <row r="201" spans="1:11" x14ac:dyDescent="0.3">
      <c r="A201" s="14" t="s">
        <v>450</v>
      </c>
      <c r="B201" s="14" t="s">
        <v>64</v>
      </c>
      <c r="C201" s="14" t="s">
        <v>451</v>
      </c>
      <c r="D201" s="14" t="s">
        <v>75</v>
      </c>
      <c r="E201" s="14">
        <v>3718</v>
      </c>
      <c r="F201" s="14">
        <v>385</v>
      </c>
      <c r="G201" s="14">
        <v>310</v>
      </c>
      <c r="H201" s="14">
        <v>4413</v>
      </c>
      <c r="I201" s="15">
        <v>6.246991874522239E-2</v>
      </c>
      <c r="J201" s="14" t="s">
        <v>73</v>
      </c>
      <c r="K201" s="14" t="s">
        <v>68</v>
      </c>
    </row>
    <row r="202" spans="1:11" x14ac:dyDescent="0.3">
      <c r="A202" s="12" t="s">
        <v>452</v>
      </c>
      <c r="B202" s="12" t="s">
        <v>76</v>
      </c>
      <c r="C202" s="12" t="s">
        <v>453</v>
      </c>
      <c r="D202" s="12" t="s">
        <v>75</v>
      </c>
      <c r="E202" s="12">
        <v>802</v>
      </c>
      <c r="F202" s="12">
        <v>262</v>
      </c>
      <c r="G202" s="12">
        <v>244</v>
      </c>
      <c r="H202" s="12">
        <v>1308</v>
      </c>
      <c r="I202" s="13">
        <v>9.0606816292601824E-2</v>
      </c>
      <c r="J202" s="12" t="s">
        <v>67</v>
      </c>
      <c r="K202" s="12" t="s">
        <v>79</v>
      </c>
    </row>
    <row r="203" spans="1:11" x14ac:dyDescent="0.3">
      <c r="A203" s="14" t="s">
        <v>454</v>
      </c>
      <c r="B203" s="14" t="s">
        <v>64</v>
      </c>
      <c r="C203" s="14" t="s">
        <v>455</v>
      </c>
      <c r="D203" s="14" t="s">
        <v>63</v>
      </c>
      <c r="E203" s="14">
        <v>1871</v>
      </c>
      <c r="F203" s="14">
        <v>252</v>
      </c>
      <c r="G203" s="14">
        <v>335</v>
      </c>
      <c r="H203" s="14">
        <v>2458</v>
      </c>
      <c r="I203" s="15">
        <v>8.2108498129342594E-2</v>
      </c>
      <c r="J203" s="14" t="s">
        <v>73</v>
      </c>
      <c r="K203" s="14" t="s">
        <v>62</v>
      </c>
    </row>
    <row r="204" spans="1:11" x14ac:dyDescent="0.3">
      <c r="A204" s="12" t="s">
        <v>456</v>
      </c>
      <c r="B204" s="12" t="s">
        <v>70</v>
      </c>
      <c r="C204" s="12" t="s">
        <v>457</v>
      </c>
      <c r="D204" s="12" t="s">
        <v>69</v>
      </c>
      <c r="E204" s="12">
        <v>3773</v>
      </c>
      <c r="F204" s="12">
        <v>299</v>
      </c>
      <c r="G204" s="12">
        <v>38</v>
      </c>
      <c r="H204" s="12">
        <v>4110</v>
      </c>
      <c r="I204" s="13">
        <v>5.7332570758993957E-2</v>
      </c>
      <c r="J204" s="12" t="s">
        <v>73</v>
      </c>
      <c r="K204" s="12" t="s">
        <v>79</v>
      </c>
    </row>
    <row r="205" spans="1:11" x14ac:dyDescent="0.3">
      <c r="A205" s="14" t="s">
        <v>458</v>
      </c>
      <c r="B205" s="14" t="s">
        <v>70</v>
      </c>
      <c r="C205" s="14" t="s">
        <v>375</v>
      </c>
      <c r="D205" s="14" t="s">
        <v>69</v>
      </c>
      <c r="E205" s="14">
        <v>2234</v>
      </c>
      <c r="F205" s="14">
        <v>653</v>
      </c>
      <c r="G205" s="14">
        <v>432</v>
      </c>
      <c r="H205" s="14">
        <v>3319</v>
      </c>
      <c r="I205" s="15">
        <v>0.29713518352730528</v>
      </c>
      <c r="J205" s="14" t="s">
        <v>84</v>
      </c>
      <c r="K205" s="14" t="s">
        <v>79</v>
      </c>
    </row>
    <row r="206" spans="1:11" x14ac:dyDescent="0.3">
      <c r="A206" s="12" t="s">
        <v>459</v>
      </c>
      <c r="B206" s="12" t="s">
        <v>76</v>
      </c>
      <c r="C206" s="12" t="s">
        <v>346</v>
      </c>
      <c r="D206" s="12" t="s">
        <v>85</v>
      </c>
      <c r="E206" s="12">
        <v>3820</v>
      </c>
      <c r="F206" s="12">
        <v>697</v>
      </c>
      <c r="G206" s="12">
        <v>268</v>
      </c>
      <c r="H206" s="12">
        <v>4785</v>
      </c>
      <c r="I206" s="13">
        <v>0.1043848167539267</v>
      </c>
      <c r="J206" s="12" t="s">
        <v>61</v>
      </c>
      <c r="K206" s="12" t="s">
        <v>68</v>
      </c>
    </row>
    <row r="207" spans="1:11" x14ac:dyDescent="0.3">
      <c r="A207" s="14" t="s">
        <v>460</v>
      </c>
      <c r="B207" s="14" t="s">
        <v>76</v>
      </c>
      <c r="C207" s="14" t="s">
        <v>115</v>
      </c>
      <c r="D207" s="14" t="s">
        <v>88</v>
      </c>
      <c r="E207" s="14">
        <v>941</v>
      </c>
      <c r="F207" s="14">
        <v>121</v>
      </c>
      <c r="G207" s="14">
        <v>458</v>
      </c>
      <c r="H207" s="14">
        <v>1520</v>
      </c>
      <c r="I207" s="15">
        <v>0.1076868579525328</v>
      </c>
      <c r="J207" s="14" t="s">
        <v>78</v>
      </c>
      <c r="K207" s="14" t="s">
        <v>62</v>
      </c>
    </row>
    <row r="208" spans="1:11" x14ac:dyDescent="0.3">
      <c r="A208" s="12" t="s">
        <v>461</v>
      </c>
      <c r="B208" s="12" t="s">
        <v>76</v>
      </c>
      <c r="C208" s="12" t="s">
        <v>462</v>
      </c>
      <c r="D208" s="12" t="s">
        <v>69</v>
      </c>
      <c r="E208" s="12">
        <v>4274</v>
      </c>
      <c r="F208" s="12">
        <v>340</v>
      </c>
      <c r="G208" s="12">
        <v>281</v>
      </c>
      <c r="H208" s="12">
        <v>4895</v>
      </c>
      <c r="I208" s="13">
        <v>0.14316214319138981</v>
      </c>
      <c r="J208" s="12" t="s">
        <v>61</v>
      </c>
      <c r="K208" s="12" t="s">
        <v>74</v>
      </c>
    </row>
    <row r="209" spans="1:11" x14ac:dyDescent="0.3">
      <c r="A209" s="14" t="s">
        <v>463</v>
      </c>
      <c r="B209" s="14" t="s">
        <v>81</v>
      </c>
      <c r="C209" s="14" t="s">
        <v>115</v>
      </c>
      <c r="D209" s="14" t="s">
        <v>85</v>
      </c>
      <c r="E209" s="14">
        <v>2949</v>
      </c>
      <c r="F209" s="14">
        <v>476</v>
      </c>
      <c r="G209" s="14">
        <v>403</v>
      </c>
      <c r="H209" s="14">
        <v>3828</v>
      </c>
      <c r="I209" s="15">
        <v>8.6537809426924378E-2</v>
      </c>
      <c r="J209" s="14" t="s">
        <v>73</v>
      </c>
      <c r="K209" s="14" t="s">
        <v>68</v>
      </c>
    </row>
    <row r="210" spans="1:11" x14ac:dyDescent="0.3">
      <c r="A210" s="12" t="s">
        <v>464</v>
      </c>
      <c r="B210" s="12" t="s">
        <v>76</v>
      </c>
      <c r="C210" s="12" t="s">
        <v>465</v>
      </c>
      <c r="D210" s="12" t="s">
        <v>85</v>
      </c>
      <c r="E210" s="12">
        <v>3160</v>
      </c>
      <c r="F210" s="12">
        <v>204</v>
      </c>
      <c r="G210" s="12">
        <v>297</v>
      </c>
      <c r="H210" s="12">
        <v>3661</v>
      </c>
      <c r="I210" s="13">
        <v>8.2753164556962022E-2</v>
      </c>
      <c r="J210" s="12" t="s">
        <v>61</v>
      </c>
      <c r="K210" s="12" t="s">
        <v>68</v>
      </c>
    </row>
    <row r="211" spans="1:11" x14ac:dyDescent="0.3">
      <c r="A211" s="14" t="s">
        <v>466</v>
      </c>
      <c r="B211" s="14" t="s">
        <v>81</v>
      </c>
      <c r="C211" s="14" t="s">
        <v>389</v>
      </c>
      <c r="D211" s="14" t="s">
        <v>63</v>
      </c>
      <c r="E211" s="14">
        <v>257</v>
      </c>
      <c r="F211" s="14">
        <v>966</v>
      </c>
      <c r="G211" s="14">
        <v>398</v>
      </c>
      <c r="H211" s="14">
        <v>1621</v>
      </c>
      <c r="I211" s="15">
        <v>0.48518407662376528</v>
      </c>
      <c r="J211" s="14" t="s">
        <v>73</v>
      </c>
      <c r="K211" s="14" t="s">
        <v>68</v>
      </c>
    </row>
    <row r="212" spans="1:11" x14ac:dyDescent="0.3">
      <c r="A212" s="12" t="s">
        <v>467</v>
      </c>
      <c r="B212" s="12" t="s">
        <v>76</v>
      </c>
      <c r="C212" s="12" t="s">
        <v>468</v>
      </c>
      <c r="D212" s="12" t="s">
        <v>69</v>
      </c>
      <c r="E212" s="12">
        <v>2120</v>
      </c>
      <c r="F212" s="12">
        <v>38</v>
      </c>
      <c r="G212" s="12">
        <v>212</v>
      </c>
      <c r="H212" s="12">
        <v>2370</v>
      </c>
      <c r="I212" s="13">
        <v>0.18632075471698109</v>
      </c>
      <c r="J212" s="12" t="s">
        <v>73</v>
      </c>
      <c r="K212" s="12" t="s">
        <v>68</v>
      </c>
    </row>
    <row r="213" spans="1:11" x14ac:dyDescent="0.3">
      <c r="A213" s="14" t="s">
        <v>469</v>
      </c>
      <c r="B213" s="14" t="s">
        <v>81</v>
      </c>
      <c r="C213" s="14" t="s">
        <v>241</v>
      </c>
      <c r="D213" s="14" t="s">
        <v>85</v>
      </c>
      <c r="E213" s="14">
        <v>3874</v>
      </c>
      <c r="F213" s="14">
        <v>884</v>
      </c>
      <c r="G213" s="14">
        <v>19</v>
      </c>
      <c r="H213" s="14">
        <v>4777</v>
      </c>
      <c r="I213" s="15">
        <v>0.123309241094476</v>
      </c>
      <c r="J213" s="14" t="s">
        <v>61</v>
      </c>
      <c r="K213" s="14" t="s">
        <v>79</v>
      </c>
    </row>
    <row r="214" spans="1:11" x14ac:dyDescent="0.3">
      <c r="A214" s="12" t="s">
        <v>470</v>
      </c>
      <c r="B214" s="12" t="s">
        <v>64</v>
      </c>
      <c r="C214" s="12" t="s">
        <v>471</v>
      </c>
      <c r="D214" s="12" t="s">
        <v>69</v>
      </c>
      <c r="E214" s="12">
        <v>2696</v>
      </c>
      <c r="F214" s="12">
        <v>628</v>
      </c>
      <c r="G214" s="12">
        <v>443</v>
      </c>
      <c r="H214" s="12">
        <v>3767</v>
      </c>
      <c r="I214" s="13">
        <v>8.21914819340199E-2</v>
      </c>
      <c r="J214" s="12" t="s">
        <v>67</v>
      </c>
      <c r="K214" s="12" t="s">
        <v>74</v>
      </c>
    </row>
    <row r="215" spans="1:11" x14ac:dyDescent="0.3">
      <c r="A215" s="14" t="s">
        <v>472</v>
      </c>
      <c r="B215" s="14" t="s">
        <v>70</v>
      </c>
      <c r="C215" s="14" t="s">
        <v>103</v>
      </c>
      <c r="D215" s="14" t="s">
        <v>63</v>
      </c>
      <c r="E215" s="14">
        <v>521</v>
      </c>
      <c r="F215" s="14">
        <v>746</v>
      </c>
      <c r="G215" s="14">
        <v>315</v>
      </c>
      <c r="H215" s="14">
        <v>1582</v>
      </c>
      <c r="I215" s="15">
        <v>0.37955854126679461</v>
      </c>
      <c r="J215" s="14" t="s">
        <v>67</v>
      </c>
      <c r="K215" s="14" t="s">
        <v>68</v>
      </c>
    </row>
    <row r="216" spans="1:11" x14ac:dyDescent="0.3">
      <c r="A216" s="12" t="s">
        <v>473</v>
      </c>
      <c r="B216" s="12" t="s">
        <v>64</v>
      </c>
      <c r="C216" s="12" t="s">
        <v>474</v>
      </c>
      <c r="D216" s="12" t="s">
        <v>63</v>
      </c>
      <c r="E216" s="12">
        <v>4872</v>
      </c>
      <c r="F216" s="12">
        <v>925</v>
      </c>
      <c r="G216" s="12">
        <v>176</v>
      </c>
      <c r="H216" s="12">
        <v>5973</v>
      </c>
      <c r="I216" s="13">
        <v>7.2116777745580993E-2</v>
      </c>
      <c r="J216" s="12" t="s">
        <v>67</v>
      </c>
      <c r="K216" s="12" t="s">
        <v>68</v>
      </c>
    </row>
    <row r="217" spans="1:11" x14ac:dyDescent="0.3">
      <c r="A217" s="14" t="s">
        <v>475</v>
      </c>
      <c r="B217" s="14" t="s">
        <v>81</v>
      </c>
      <c r="C217" s="14" t="s">
        <v>309</v>
      </c>
      <c r="D217" s="14" t="s">
        <v>80</v>
      </c>
      <c r="E217" s="14">
        <v>1509</v>
      </c>
      <c r="F217" s="14">
        <v>88</v>
      </c>
      <c r="G217" s="14">
        <v>163</v>
      </c>
      <c r="H217" s="14">
        <v>1760</v>
      </c>
      <c r="I217" s="15">
        <v>5.8316766070245198E-2</v>
      </c>
      <c r="J217" s="14" t="s">
        <v>73</v>
      </c>
      <c r="K217" s="14" t="s">
        <v>68</v>
      </c>
    </row>
    <row r="218" spans="1:11" x14ac:dyDescent="0.3">
      <c r="A218" s="12" t="s">
        <v>476</v>
      </c>
      <c r="B218" s="12" t="s">
        <v>64</v>
      </c>
      <c r="C218" s="12" t="s">
        <v>401</v>
      </c>
      <c r="D218" s="12" t="s">
        <v>63</v>
      </c>
      <c r="E218" s="12">
        <v>4606</v>
      </c>
      <c r="F218" s="12">
        <v>931</v>
      </c>
      <c r="G218" s="12">
        <v>230</v>
      </c>
      <c r="H218" s="12">
        <v>5767</v>
      </c>
      <c r="I218" s="13">
        <v>6.2603126356925748E-2</v>
      </c>
      <c r="J218" s="12" t="s">
        <v>84</v>
      </c>
      <c r="K218" s="12" t="s">
        <v>74</v>
      </c>
    </row>
    <row r="219" spans="1:11" x14ac:dyDescent="0.3">
      <c r="A219" s="14" t="s">
        <v>477</v>
      </c>
      <c r="B219" s="14" t="s">
        <v>64</v>
      </c>
      <c r="C219" s="14" t="s">
        <v>295</v>
      </c>
      <c r="D219" s="14" t="s">
        <v>69</v>
      </c>
      <c r="E219" s="14">
        <v>1869</v>
      </c>
      <c r="F219" s="14">
        <v>453</v>
      </c>
      <c r="G219" s="14">
        <v>490</v>
      </c>
      <c r="H219" s="14">
        <v>2812</v>
      </c>
      <c r="I219" s="15">
        <v>0.18806848582129479</v>
      </c>
      <c r="J219" s="14" t="s">
        <v>84</v>
      </c>
      <c r="K219" s="14" t="s">
        <v>68</v>
      </c>
    </row>
    <row r="220" spans="1:11" x14ac:dyDescent="0.3">
      <c r="A220" s="12" t="s">
        <v>478</v>
      </c>
      <c r="B220" s="12" t="s">
        <v>76</v>
      </c>
      <c r="C220" s="12" t="s">
        <v>219</v>
      </c>
      <c r="D220" s="12" t="s">
        <v>75</v>
      </c>
      <c r="E220" s="12">
        <v>1188</v>
      </c>
      <c r="F220" s="12">
        <v>470</v>
      </c>
      <c r="G220" s="12">
        <v>174</v>
      </c>
      <c r="H220" s="12">
        <v>1832</v>
      </c>
      <c r="I220" s="13">
        <v>0.25701459034792368</v>
      </c>
      <c r="J220" s="12" t="s">
        <v>61</v>
      </c>
      <c r="K220" s="12" t="s">
        <v>62</v>
      </c>
    </row>
    <row r="221" spans="1:11" x14ac:dyDescent="0.3">
      <c r="A221" s="14" t="s">
        <v>479</v>
      </c>
      <c r="B221" s="14" t="s">
        <v>70</v>
      </c>
      <c r="C221" s="14" t="s">
        <v>455</v>
      </c>
      <c r="D221" s="14" t="s">
        <v>80</v>
      </c>
      <c r="E221" s="14">
        <v>84</v>
      </c>
      <c r="F221" s="14">
        <v>897</v>
      </c>
      <c r="G221" s="14">
        <v>85</v>
      </c>
      <c r="H221" s="14">
        <v>1066</v>
      </c>
      <c r="I221" s="15">
        <v>1.8129251700680269</v>
      </c>
      <c r="J221" s="14" t="s">
        <v>61</v>
      </c>
      <c r="K221" s="14" t="s">
        <v>62</v>
      </c>
    </row>
    <row r="222" spans="1:11" x14ac:dyDescent="0.3">
      <c r="A222" s="12" t="s">
        <v>480</v>
      </c>
      <c r="B222" s="12" t="s">
        <v>64</v>
      </c>
      <c r="C222" s="12" t="s">
        <v>297</v>
      </c>
      <c r="D222" s="12" t="s">
        <v>85</v>
      </c>
      <c r="E222" s="12">
        <v>4453</v>
      </c>
      <c r="F222" s="12">
        <v>111</v>
      </c>
      <c r="G222" s="12">
        <v>420</v>
      </c>
      <c r="H222" s="12">
        <v>4984</v>
      </c>
      <c r="I222" s="13">
        <v>0.15989220750056141</v>
      </c>
      <c r="J222" s="12" t="s">
        <v>73</v>
      </c>
      <c r="K222" s="12" t="s">
        <v>79</v>
      </c>
    </row>
    <row r="223" spans="1:11" x14ac:dyDescent="0.3">
      <c r="A223" s="14" t="s">
        <v>481</v>
      </c>
      <c r="B223" s="14" t="s">
        <v>64</v>
      </c>
      <c r="C223" s="14" t="s">
        <v>482</v>
      </c>
      <c r="D223" s="14" t="s">
        <v>75</v>
      </c>
      <c r="E223" s="14">
        <v>1814</v>
      </c>
      <c r="F223" s="14">
        <v>653</v>
      </c>
      <c r="G223" s="14">
        <v>363</v>
      </c>
      <c r="H223" s="14">
        <v>2830</v>
      </c>
      <c r="I223" s="15">
        <v>0.1114348716333281</v>
      </c>
      <c r="J223" s="14" t="s">
        <v>61</v>
      </c>
      <c r="K223" s="14" t="s">
        <v>68</v>
      </c>
    </row>
    <row r="224" spans="1:11" x14ac:dyDescent="0.3">
      <c r="A224" s="12" t="s">
        <v>483</v>
      </c>
      <c r="B224" s="12" t="s">
        <v>76</v>
      </c>
      <c r="C224" s="12" t="s">
        <v>399</v>
      </c>
      <c r="D224" s="12" t="s">
        <v>63</v>
      </c>
      <c r="E224" s="12">
        <v>3338</v>
      </c>
      <c r="F224" s="12">
        <v>277</v>
      </c>
      <c r="G224" s="12">
        <v>118</v>
      </c>
      <c r="H224" s="12">
        <v>3733</v>
      </c>
      <c r="I224" s="13">
        <v>6.2129685107516153E-2</v>
      </c>
      <c r="J224" s="12" t="s">
        <v>61</v>
      </c>
      <c r="K224" s="12" t="s">
        <v>68</v>
      </c>
    </row>
    <row r="225" spans="1:11" x14ac:dyDescent="0.3">
      <c r="A225" s="14" t="s">
        <v>484</v>
      </c>
      <c r="B225" s="14" t="s">
        <v>64</v>
      </c>
      <c r="C225" s="14" t="s">
        <v>485</v>
      </c>
      <c r="D225" s="14" t="s">
        <v>63</v>
      </c>
      <c r="E225" s="14">
        <v>602</v>
      </c>
      <c r="F225" s="14">
        <v>594</v>
      </c>
      <c r="G225" s="14">
        <v>156</v>
      </c>
      <c r="H225" s="14">
        <v>1352</v>
      </c>
      <c r="I225" s="15">
        <v>0.32083531086853351</v>
      </c>
      <c r="J225" s="14" t="s">
        <v>67</v>
      </c>
      <c r="K225" s="14" t="s">
        <v>74</v>
      </c>
    </row>
    <row r="226" spans="1:11" x14ac:dyDescent="0.3">
      <c r="A226" s="12" t="s">
        <v>486</v>
      </c>
      <c r="B226" s="12" t="s">
        <v>76</v>
      </c>
      <c r="C226" s="12" t="s">
        <v>414</v>
      </c>
      <c r="D226" s="12" t="s">
        <v>69</v>
      </c>
      <c r="E226" s="12">
        <v>4672</v>
      </c>
      <c r="F226" s="12">
        <v>325</v>
      </c>
      <c r="G226" s="12">
        <v>32</v>
      </c>
      <c r="H226" s="12">
        <v>5029</v>
      </c>
      <c r="I226" s="13">
        <v>5.6653298485940883E-2</v>
      </c>
      <c r="J226" s="12" t="s">
        <v>84</v>
      </c>
      <c r="K226" s="12" t="s">
        <v>74</v>
      </c>
    </row>
    <row r="227" spans="1:11" x14ac:dyDescent="0.3">
      <c r="A227" s="14" t="s">
        <v>487</v>
      </c>
      <c r="B227" s="14" t="s">
        <v>70</v>
      </c>
      <c r="C227" s="14" t="s">
        <v>488</v>
      </c>
      <c r="D227" s="14" t="s">
        <v>69</v>
      </c>
      <c r="E227" s="14">
        <v>1741</v>
      </c>
      <c r="F227" s="14">
        <v>164</v>
      </c>
      <c r="G227" s="14">
        <v>318</v>
      </c>
      <c r="H227" s="14">
        <v>2223</v>
      </c>
      <c r="I227" s="15">
        <v>0.25537047673750718</v>
      </c>
      <c r="J227" s="14" t="s">
        <v>67</v>
      </c>
      <c r="K227" s="14" t="s">
        <v>62</v>
      </c>
    </row>
    <row r="228" spans="1:11" x14ac:dyDescent="0.3">
      <c r="A228" s="12" t="s">
        <v>489</v>
      </c>
      <c r="B228" s="12" t="s">
        <v>70</v>
      </c>
      <c r="C228" s="12" t="s">
        <v>490</v>
      </c>
      <c r="D228" s="12" t="s">
        <v>88</v>
      </c>
      <c r="E228" s="12">
        <v>246</v>
      </c>
      <c r="F228" s="12">
        <v>149</v>
      </c>
      <c r="G228" s="12">
        <v>130</v>
      </c>
      <c r="H228" s="12">
        <v>525</v>
      </c>
      <c r="I228" s="13">
        <v>0.11232349165596919</v>
      </c>
      <c r="J228" s="12" t="s">
        <v>73</v>
      </c>
      <c r="K228" s="12" t="s">
        <v>62</v>
      </c>
    </row>
    <row r="229" spans="1:11" x14ac:dyDescent="0.3">
      <c r="A229" s="14" t="s">
        <v>491</v>
      </c>
      <c r="B229" s="14" t="s">
        <v>70</v>
      </c>
      <c r="C229" s="14" t="s">
        <v>492</v>
      </c>
      <c r="D229" s="14" t="s">
        <v>80</v>
      </c>
      <c r="E229" s="14">
        <v>4808</v>
      </c>
      <c r="F229" s="14">
        <v>772</v>
      </c>
      <c r="G229" s="14">
        <v>320</v>
      </c>
      <c r="H229" s="14">
        <v>5900</v>
      </c>
      <c r="I229" s="15">
        <v>8.1808097615085965E-2</v>
      </c>
      <c r="J229" s="14" t="s">
        <v>73</v>
      </c>
      <c r="K229" s="14" t="s">
        <v>79</v>
      </c>
    </row>
    <row r="230" spans="1:11" x14ac:dyDescent="0.3">
      <c r="A230" s="12" t="s">
        <v>493</v>
      </c>
      <c r="B230" s="12" t="s">
        <v>70</v>
      </c>
      <c r="C230" s="12" t="s">
        <v>200</v>
      </c>
      <c r="D230" s="12" t="s">
        <v>69</v>
      </c>
      <c r="E230" s="12">
        <v>4799</v>
      </c>
      <c r="F230" s="12">
        <v>694</v>
      </c>
      <c r="G230" s="12">
        <v>289</v>
      </c>
      <c r="H230" s="12">
        <v>5782</v>
      </c>
      <c r="I230" s="13">
        <v>0.13387048227640019</v>
      </c>
      <c r="J230" s="12" t="s">
        <v>73</v>
      </c>
      <c r="K230" s="12" t="s">
        <v>62</v>
      </c>
    </row>
    <row r="231" spans="1:11" x14ac:dyDescent="0.3">
      <c r="A231" s="14" t="s">
        <v>494</v>
      </c>
      <c r="B231" s="14" t="s">
        <v>64</v>
      </c>
      <c r="C231" s="14" t="s">
        <v>356</v>
      </c>
      <c r="D231" s="14" t="s">
        <v>75</v>
      </c>
      <c r="E231" s="14">
        <v>3663</v>
      </c>
      <c r="F231" s="14">
        <v>17</v>
      </c>
      <c r="G231" s="14">
        <v>295</v>
      </c>
      <c r="H231" s="14">
        <v>3975</v>
      </c>
      <c r="I231" s="15">
        <v>7.7512577512577507E-2</v>
      </c>
      <c r="J231" s="14" t="s">
        <v>67</v>
      </c>
      <c r="K231" s="14" t="s">
        <v>68</v>
      </c>
    </row>
    <row r="232" spans="1:11" x14ac:dyDescent="0.3">
      <c r="A232" s="12" t="s">
        <v>495</v>
      </c>
      <c r="B232" s="12" t="s">
        <v>70</v>
      </c>
      <c r="C232" s="12" t="s">
        <v>471</v>
      </c>
      <c r="D232" s="12" t="s">
        <v>88</v>
      </c>
      <c r="E232" s="12">
        <v>1430</v>
      </c>
      <c r="F232" s="12">
        <v>376</v>
      </c>
      <c r="G232" s="12">
        <v>33</v>
      </c>
      <c r="H232" s="12">
        <v>1839</v>
      </c>
      <c r="I232" s="13">
        <v>8.5734265734265735E-2</v>
      </c>
      <c r="J232" s="12" t="s">
        <v>84</v>
      </c>
      <c r="K232" s="12" t="s">
        <v>74</v>
      </c>
    </row>
    <row r="233" spans="1:11" x14ac:dyDescent="0.3">
      <c r="A233" s="14" t="s">
        <v>496</v>
      </c>
      <c r="B233" s="14" t="s">
        <v>76</v>
      </c>
      <c r="C233" s="14" t="s">
        <v>497</v>
      </c>
      <c r="D233" s="14" t="s">
        <v>80</v>
      </c>
      <c r="E233" s="14">
        <v>249</v>
      </c>
      <c r="F233" s="14">
        <v>592</v>
      </c>
      <c r="G233" s="14">
        <v>230</v>
      </c>
      <c r="H233" s="14">
        <v>1071</v>
      </c>
      <c r="I233" s="15">
        <v>0.7168674698795181</v>
      </c>
      <c r="J233" s="14" t="s">
        <v>78</v>
      </c>
      <c r="K233" s="14" t="s">
        <v>79</v>
      </c>
    </row>
    <row r="234" spans="1:11" x14ac:dyDescent="0.3">
      <c r="A234" s="12" t="s">
        <v>498</v>
      </c>
      <c r="B234" s="12" t="s">
        <v>64</v>
      </c>
      <c r="C234" s="12" t="s">
        <v>183</v>
      </c>
      <c r="D234" s="12" t="s">
        <v>63</v>
      </c>
      <c r="E234" s="12">
        <v>2382</v>
      </c>
      <c r="F234" s="12">
        <v>265</v>
      </c>
      <c r="G234" s="12">
        <v>134</v>
      </c>
      <c r="H234" s="12">
        <v>2781</v>
      </c>
      <c r="I234" s="13">
        <v>7.2969143576826198E-2</v>
      </c>
      <c r="J234" s="12" t="s">
        <v>84</v>
      </c>
      <c r="K234" s="12" t="s">
        <v>62</v>
      </c>
    </row>
    <row r="235" spans="1:11" x14ac:dyDescent="0.3">
      <c r="A235" s="14" t="s">
        <v>499</v>
      </c>
      <c r="B235" s="14" t="s">
        <v>64</v>
      </c>
      <c r="C235" s="14" t="s">
        <v>500</v>
      </c>
      <c r="D235" s="14" t="s">
        <v>88</v>
      </c>
      <c r="E235" s="14">
        <v>1272</v>
      </c>
      <c r="F235" s="14">
        <v>465</v>
      </c>
      <c r="G235" s="14">
        <v>99</v>
      </c>
      <c r="H235" s="14">
        <v>1836</v>
      </c>
      <c r="I235" s="15">
        <v>7.5968222442899705E-2</v>
      </c>
      <c r="J235" s="14" t="s">
        <v>78</v>
      </c>
      <c r="K235" s="14" t="s">
        <v>62</v>
      </c>
    </row>
    <row r="236" spans="1:11" x14ac:dyDescent="0.3">
      <c r="A236" s="12" t="s">
        <v>501</v>
      </c>
      <c r="B236" s="12" t="s">
        <v>64</v>
      </c>
      <c r="C236" s="12" t="s">
        <v>431</v>
      </c>
      <c r="D236" s="12" t="s">
        <v>63</v>
      </c>
      <c r="E236" s="12">
        <v>3196</v>
      </c>
      <c r="F236" s="12">
        <v>941</v>
      </c>
      <c r="G236" s="12">
        <v>376</v>
      </c>
      <c r="H236" s="12">
        <v>4513</v>
      </c>
      <c r="I236" s="13">
        <v>0.1283706906360223</v>
      </c>
      <c r="J236" s="12" t="s">
        <v>61</v>
      </c>
      <c r="K236" s="12" t="s">
        <v>79</v>
      </c>
    </row>
    <row r="237" spans="1:11" x14ac:dyDescent="0.3">
      <c r="A237" s="14" t="s">
        <v>502</v>
      </c>
      <c r="B237" s="14" t="s">
        <v>64</v>
      </c>
      <c r="C237" s="14" t="s">
        <v>137</v>
      </c>
      <c r="D237" s="14" t="s">
        <v>88</v>
      </c>
      <c r="E237" s="14">
        <v>1257</v>
      </c>
      <c r="F237" s="14">
        <v>19</v>
      </c>
      <c r="G237" s="14">
        <v>351</v>
      </c>
      <c r="H237" s="14">
        <v>1627</v>
      </c>
      <c r="I237" s="15">
        <v>0.12943516308671441</v>
      </c>
      <c r="J237" s="14" t="s">
        <v>61</v>
      </c>
      <c r="K237" s="14" t="s">
        <v>68</v>
      </c>
    </row>
    <row r="238" spans="1:11" x14ac:dyDescent="0.3">
      <c r="A238" s="12" t="s">
        <v>503</v>
      </c>
      <c r="B238" s="12" t="s">
        <v>70</v>
      </c>
      <c r="C238" s="12" t="s">
        <v>380</v>
      </c>
      <c r="D238" s="12" t="s">
        <v>80</v>
      </c>
      <c r="E238" s="12">
        <v>3770</v>
      </c>
      <c r="F238" s="12">
        <v>917</v>
      </c>
      <c r="G238" s="12">
        <v>129</v>
      </c>
      <c r="H238" s="12">
        <v>4816</v>
      </c>
      <c r="I238" s="13">
        <v>6.7234398994834563E-2</v>
      </c>
      <c r="J238" s="12" t="s">
        <v>67</v>
      </c>
      <c r="K238" s="12" t="s">
        <v>79</v>
      </c>
    </row>
    <row r="239" spans="1:11" x14ac:dyDescent="0.3">
      <c r="A239" s="14" t="s">
        <v>504</v>
      </c>
      <c r="B239" s="14" t="s">
        <v>76</v>
      </c>
      <c r="C239" s="14" t="s">
        <v>505</v>
      </c>
      <c r="D239" s="14" t="s">
        <v>88</v>
      </c>
      <c r="E239" s="14">
        <v>4725</v>
      </c>
      <c r="F239" s="14">
        <v>400</v>
      </c>
      <c r="G239" s="14">
        <v>362</v>
      </c>
      <c r="H239" s="14">
        <v>5487</v>
      </c>
      <c r="I239" s="15">
        <v>7.2579365079365077E-2</v>
      </c>
      <c r="J239" s="14" t="s">
        <v>73</v>
      </c>
      <c r="K239" s="14" t="s">
        <v>68</v>
      </c>
    </row>
    <row r="240" spans="1:11" x14ac:dyDescent="0.3">
      <c r="A240" s="12" t="s">
        <v>506</v>
      </c>
      <c r="B240" s="12" t="s">
        <v>81</v>
      </c>
      <c r="C240" s="12" t="s">
        <v>195</v>
      </c>
      <c r="D240" s="12" t="s">
        <v>88</v>
      </c>
      <c r="E240" s="12">
        <v>4188</v>
      </c>
      <c r="F240" s="12">
        <v>942</v>
      </c>
      <c r="G240" s="12">
        <v>118</v>
      </c>
      <c r="H240" s="12">
        <v>5248</v>
      </c>
      <c r="I240" s="13">
        <v>0.25062082139446029</v>
      </c>
      <c r="J240" s="12" t="s">
        <v>61</v>
      </c>
      <c r="K240" s="12" t="s">
        <v>62</v>
      </c>
    </row>
    <row r="241" spans="1:11" x14ac:dyDescent="0.3">
      <c r="A241" s="14" t="s">
        <v>507</v>
      </c>
      <c r="B241" s="14" t="s">
        <v>76</v>
      </c>
      <c r="C241" s="14" t="s">
        <v>133</v>
      </c>
      <c r="D241" s="14" t="s">
        <v>69</v>
      </c>
      <c r="E241" s="14">
        <v>929</v>
      </c>
      <c r="F241" s="14">
        <v>192</v>
      </c>
      <c r="G241" s="14">
        <v>322</v>
      </c>
      <c r="H241" s="14">
        <v>1443</v>
      </c>
      <c r="I241" s="15">
        <v>8.6293505561535699E-2</v>
      </c>
      <c r="J241" s="14" t="s">
        <v>78</v>
      </c>
      <c r="K241" s="14" t="s">
        <v>74</v>
      </c>
    </row>
    <row r="242" spans="1:11" x14ac:dyDescent="0.3">
      <c r="A242" s="12" t="s">
        <v>508</v>
      </c>
      <c r="B242" s="12" t="s">
        <v>64</v>
      </c>
      <c r="C242" s="12" t="s">
        <v>509</v>
      </c>
      <c r="D242" s="12" t="s">
        <v>80</v>
      </c>
      <c r="E242" s="12">
        <v>4321</v>
      </c>
      <c r="F242" s="12">
        <v>874</v>
      </c>
      <c r="G242" s="12">
        <v>172</v>
      </c>
      <c r="H242" s="12">
        <v>5367</v>
      </c>
      <c r="I242" s="13">
        <v>0.17743908486792079</v>
      </c>
      <c r="J242" s="12" t="s">
        <v>67</v>
      </c>
      <c r="K242" s="12" t="s">
        <v>74</v>
      </c>
    </row>
    <row r="243" spans="1:11" x14ac:dyDescent="0.3">
      <c r="A243" s="14" t="s">
        <v>510</v>
      </c>
      <c r="B243" s="14" t="s">
        <v>64</v>
      </c>
      <c r="C243" s="14" t="s">
        <v>269</v>
      </c>
      <c r="D243" s="14" t="s">
        <v>75</v>
      </c>
      <c r="E243" s="14">
        <v>4767</v>
      </c>
      <c r="F243" s="14">
        <v>190</v>
      </c>
      <c r="G243" s="14">
        <v>340</v>
      </c>
      <c r="H243" s="14">
        <v>5297</v>
      </c>
      <c r="I243" s="15">
        <v>0.18519683938186141</v>
      </c>
      <c r="J243" s="14" t="s">
        <v>84</v>
      </c>
      <c r="K243" s="14" t="s">
        <v>79</v>
      </c>
    </row>
    <row r="244" spans="1:11" x14ac:dyDescent="0.3">
      <c r="A244" s="12" t="s">
        <v>511</v>
      </c>
      <c r="B244" s="12" t="s">
        <v>76</v>
      </c>
      <c r="C244" s="12" t="s">
        <v>512</v>
      </c>
      <c r="D244" s="12" t="s">
        <v>63</v>
      </c>
      <c r="E244" s="12">
        <v>3592</v>
      </c>
      <c r="F244" s="12">
        <v>911</v>
      </c>
      <c r="G244" s="12">
        <v>375</v>
      </c>
      <c r="H244" s="12">
        <v>4878</v>
      </c>
      <c r="I244" s="13">
        <v>9.7001272669424113E-2</v>
      </c>
      <c r="J244" s="12" t="s">
        <v>61</v>
      </c>
      <c r="K244" s="12" t="s">
        <v>62</v>
      </c>
    </row>
    <row r="245" spans="1:11" x14ac:dyDescent="0.3">
      <c r="A245" s="14" t="s">
        <v>513</v>
      </c>
      <c r="B245" s="14" t="s">
        <v>81</v>
      </c>
      <c r="C245" s="14" t="s">
        <v>514</v>
      </c>
      <c r="D245" s="14" t="s">
        <v>85</v>
      </c>
      <c r="E245" s="14">
        <v>4661</v>
      </c>
      <c r="F245" s="14">
        <v>935</v>
      </c>
      <c r="G245" s="14">
        <v>433</v>
      </c>
      <c r="H245" s="14">
        <v>6029</v>
      </c>
      <c r="I245" s="15">
        <v>0.25869984981763572</v>
      </c>
      <c r="J245" s="14" t="s">
        <v>61</v>
      </c>
      <c r="K245" s="14" t="s">
        <v>68</v>
      </c>
    </row>
    <row r="246" spans="1:11" x14ac:dyDescent="0.3">
      <c r="A246" s="12" t="s">
        <v>515</v>
      </c>
      <c r="B246" s="12" t="s">
        <v>64</v>
      </c>
      <c r="C246" s="12" t="s">
        <v>516</v>
      </c>
      <c r="D246" s="12" t="s">
        <v>75</v>
      </c>
      <c r="E246" s="12">
        <v>4134</v>
      </c>
      <c r="F246" s="12">
        <v>824</v>
      </c>
      <c r="G246" s="12">
        <v>99</v>
      </c>
      <c r="H246" s="12">
        <v>5057</v>
      </c>
      <c r="I246" s="13">
        <v>0.12232704402515721</v>
      </c>
      <c r="J246" s="12" t="s">
        <v>78</v>
      </c>
      <c r="K246" s="12" t="s">
        <v>62</v>
      </c>
    </row>
    <row r="247" spans="1:11" x14ac:dyDescent="0.3">
      <c r="A247" s="14" t="s">
        <v>517</v>
      </c>
      <c r="B247" s="14" t="s">
        <v>64</v>
      </c>
      <c r="C247" s="14" t="s">
        <v>518</v>
      </c>
      <c r="D247" s="14" t="s">
        <v>63</v>
      </c>
      <c r="E247" s="14">
        <v>400</v>
      </c>
      <c r="F247" s="14">
        <v>680</v>
      </c>
      <c r="G247" s="14">
        <v>434</v>
      </c>
      <c r="H247" s="14">
        <v>1514</v>
      </c>
      <c r="I247" s="15">
        <v>0.23656250000000001</v>
      </c>
      <c r="J247" s="14" t="s">
        <v>67</v>
      </c>
      <c r="K247" s="14" t="s">
        <v>62</v>
      </c>
    </row>
    <row r="248" spans="1:11" x14ac:dyDescent="0.3">
      <c r="A248" s="12" t="s">
        <v>519</v>
      </c>
      <c r="B248" s="12" t="s">
        <v>64</v>
      </c>
      <c r="C248" s="12" t="s">
        <v>520</v>
      </c>
      <c r="D248" s="12" t="s">
        <v>75</v>
      </c>
      <c r="E248" s="12">
        <v>3960</v>
      </c>
      <c r="F248" s="12">
        <v>266</v>
      </c>
      <c r="G248" s="12">
        <v>8</v>
      </c>
      <c r="H248" s="12">
        <v>4234</v>
      </c>
      <c r="I248" s="13">
        <v>0.1187991021324355</v>
      </c>
      <c r="J248" s="12" t="s">
        <v>73</v>
      </c>
      <c r="K248" s="12" t="s">
        <v>79</v>
      </c>
    </row>
    <row r="249" spans="1:11" x14ac:dyDescent="0.3">
      <c r="A249" s="14" t="s">
        <v>521</v>
      </c>
      <c r="B249" s="14" t="s">
        <v>64</v>
      </c>
      <c r="C249" s="14" t="s">
        <v>123</v>
      </c>
      <c r="D249" s="14" t="s">
        <v>80</v>
      </c>
      <c r="E249" s="14">
        <v>886</v>
      </c>
      <c r="F249" s="14">
        <v>126</v>
      </c>
      <c r="G249" s="14">
        <v>153</v>
      </c>
      <c r="H249" s="14">
        <v>1165</v>
      </c>
      <c r="I249" s="15">
        <v>0.26297968397291188</v>
      </c>
      <c r="J249" s="14" t="s">
        <v>67</v>
      </c>
      <c r="K249" s="14" t="s">
        <v>74</v>
      </c>
    </row>
    <row r="250" spans="1:11" x14ac:dyDescent="0.3">
      <c r="A250" s="12" t="s">
        <v>522</v>
      </c>
      <c r="B250" s="12" t="s">
        <v>76</v>
      </c>
      <c r="C250" s="12" t="s">
        <v>468</v>
      </c>
      <c r="D250" s="12" t="s">
        <v>63</v>
      </c>
      <c r="E250" s="12">
        <v>827</v>
      </c>
      <c r="F250" s="12">
        <v>77</v>
      </c>
      <c r="G250" s="12">
        <v>402</v>
      </c>
      <c r="H250" s="12">
        <v>1306</v>
      </c>
      <c r="I250" s="13">
        <v>8.7733440816874911E-2</v>
      </c>
      <c r="J250" s="12" t="s">
        <v>61</v>
      </c>
      <c r="K250" s="12" t="s">
        <v>62</v>
      </c>
    </row>
    <row r="251" spans="1:11" x14ac:dyDescent="0.3">
      <c r="A251" s="14" t="s">
        <v>523</v>
      </c>
      <c r="B251" s="14" t="s">
        <v>64</v>
      </c>
      <c r="C251" s="14" t="s">
        <v>217</v>
      </c>
      <c r="D251" s="14" t="s">
        <v>75</v>
      </c>
      <c r="E251" s="14">
        <v>3813</v>
      </c>
      <c r="F251" s="14">
        <v>935</v>
      </c>
      <c r="G251" s="14">
        <v>274</v>
      </c>
      <c r="H251" s="14">
        <v>5022</v>
      </c>
      <c r="I251" s="15">
        <v>7.3170731707317069E-2</v>
      </c>
      <c r="J251" s="14" t="s">
        <v>84</v>
      </c>
      <c r="K251" s="14" t="s">
        <v>68</v>
      </c>
    </row>
    <row r="252" spans="1:11" x14ac:dyDescent="0.3">
      <c r="A252" s="12" t="s">
        <v>524</v>
      </c>
      <c r="B252" s="12" t="s">
        <v>70</v>
      </c>
      <c r="C252" s="12" t="s">
        <v>525</v>
      </c>
      <c r="D252" s="12" t="s">
        <v>69</v>
      </c>
      <c r="E252" s="12">
        <v>1377</v>
      </c>
      <c r="F252" s="12">
        <v>796</v>
      </c>
      <c r="G252" s="12">
        <v>387</v>
      </c>
      <c r="H252" s="12">
        <v>2560</v>
      </c>
      <c r="I252" s="13">
        <v>0.1161946259985476</v>
      </c>
      <c r="J252" s="12" t="s">
        <v>84</v>
      </c>
      <c r="K252" s="12" t="s">
        <v>74</v>
      </c>
    </row>
    <row r="253" spans="1:11" x14ac:dyDescent="0.3">
      <c r="A253" s="14" t="s">
        <v>526</v>
      </c>
      <c r="B253" s="14" t="s">
        <v>64</v>
      </c>
      <c r="C253" s="14" t="s">
        <v>403</v>
      </c>
      <c r="D253" s="14" t="s">
        <v>69</v>
      </c>
      <c r="E253" s="14">
        <v>2089</v>
      </c>
      <c r="F253" s="14">
        <v>476</v>
      </c>
      <c r="G253" s="14">
        <v>69</v>
      </c>
      <c r="H253" s="14">
        <v>2634</v>
      </c>
      <c r="I253" s="15">
        <v>0.1576112972714217</v>
      </c>
      <c r="J253" s="14" t="s">
        <v>61</v>
      </c>
      <c r="K253" s="14" t="s">
        <v>68</v>
      </c>
    </row>
    <row r="254" spans="1:11" x14ac:dyDescent="0.3">
      <c r="A254" s="12" t="s">
        <v>527</v>
      </c>
      <c r="B254" s="12" t="s">
        <v>76</v>
      </c>
      <c r="C254" s="12" t="s">
        <v>528</v>
      </c>
      <c r="D254" s="12" t="s">
        <v>75</v>
      </c>
      <c r="E254" s="12">
        <v>3791</v>
      </c>
      <c r="F254" s="12">
        <v>593</v>
      </c>
      <c r="G254" s="12">
        <v>228</v>
      </c>
      <c r="H254" s="12">
        <v>4612</v>
      </c>
      <c r="I254" s="13">
        <v>8.6897539284772202E-2</v>
      </c>
      <c r="J254" s="12" t="s">
        <v>61</v>
      </c>
      <c r="K254" s="12" t="s">
        <v>68</v>
      </c>
    </row>
    <row r="255" spans="1:11" x14ac:dyDescent="0.3">
      <c r="A255" s="14" t="s">
        <v>529</v>
      </c>
      <c r="B255" s="14" t="s">
        <v>76</v>
      </c>
      <c r="C255" s="14" t="s">
        <v>530</v>
      </c>
      <c r="D255" s="14" t="s">
        <v>63</v>
      </c>
      <c r="E255" s="14">
        <v>2692</v>
      </c>
      <c r="F255" s="14">
        <v>115</v>
      </c>
      <c r="G255" s="14">
        <v>64</v>
      </c>
      <c r="H255" s="14">
        <v>2871</v>
      </c>
      <c r="I255" s="15">
        <v>0.13331166419019319</v>
      </c>
      <c r="J255" s="14" t="s">
        <v>84</v>
      </c>
      <c r="K255" s="14" t="s">
        <v>79</v>
      </c>
    </row>
    <row r="256" spans="1:11" x14ac:dyDescent="0.3">
      <c r="A256" s="12" t="s">
        <v>531</v>
      </c>
      <c r="B256" s="12" t="s">
        <v>64</v>
      </c>
      <c r="C256" s="12" t="s">
        <v>105</v>
      </c>
      <c r="D256" s="12" t="s">
        <v>80</v>
      </c>
      <c r="E256" s="12">
        <v>3767</v>
      </c>
      <c r="F256" s="12">
        <v>514</v>
      </c>
      <c r="G256" s="12">
        <v>238</v>
      </c>
      <c r="H256" s="12">
        <v>4519</v>
      </c>
      <c r="I256" s="13">
        <v>0.11996283514733209</v>
      </c>
      <c r="J256" s="12" t="s">
        <v>61</v>
      </c>
      <c r="K256" s="12" t="s">
        <v>68</v>
      </c>
    </row>
    <row r="257" spans="1:11" x14ac:dyDescent="0.3">
      <c r="A257" s="14" t="s">
        <v>532</v>
      </c>
      <c r="B257" s="14" t="s">
        <v>81</v>
      </c>
      <c r="C257" s="14" t="s">
        <v>293</v>
      </c>
      <c r="D257" s="14" t="s">
        <v>69</v>
      </c>
      <c r="E257" s="14">
        <v>2143</v>
      </c>
      <c r="F257" s="14">
        <v>12</v>
      </c>
      <c r="G257" s="14">
        <v>204</v>
      </c>
      <c r="H257" s="14">
        <v>2359</v>
      </c>
      <c r="I257" s="15">
        <v>5.7936488444630008E-2</v>
      </c>
      <c r="J257" s="14" t="s">
        <v>84</v>
      </c>
      <c r="K257" s="14" t="s">
        <v>79</v>
      </c>
    </row>
    <row r="258" spans="1:11" x14ac:dyDescent="0.3">
      <c r="A258" s="12" t="s">
        <v>533</v>
      </c>
      <c r="B258" s="12" t="s">
        <v>64</v>
      </c>
      <c r="C258" s="12" t="s">
        <v>332</v>
      </c>
      <c r="D258" s="12" t="s">
        <v>63</v>
      </c>
      <c r="E258" s="12">
        <v>3090</v>
      </c>
      <c r="F258" s="12">
        <v>697</v>
      </c>
      <c r="G258" s="12">
        <v>164</v>
      </c>
      <c r="H258" s="12">
        <v>3951</v>
      </c>
      <c r="I258" s="13">
        <v>7.9915048543689318E-2</v>
      </c>
      <c r="J258" s="12" t="s">
        <v>84</v>
      </c>
      <c r="K258" s="12" t="s">
        <v>79</v>
      </c>
    </row>
    <row r="259" spans="1:11" x14ac:dyDescent="0.3">
      <c r="A259" s="14" t="s">
        <v>534</v>
      </c>
      <c r="B259" s="14" t="s">
        <v>70</v>
      </c>
      <c r="C259" s="14" t="s">
        <v>535</v>
      </c>
      <c r="D259" s="14" t="s">
        <v>80</v>
      </c>
      <c r="E259" s="14">
        <v>3601</v>
      </c>
      <c r="F259" s="14">
        <v>695</v>
      </c>
      <c r="G259" s="14">
        <v>75</v>
      </c>
      <c r="H259" s="14">
        <v>4371</v>
      </c>
      <c r="I259" s="15">
        <v>0.2023049153013052</v>
      </c>
      <c r="J259" s="14" t="s">
        <v>61</v>
      </c>
      <c r="K259" s="14" t="s">
        <v>62</v>
      </c>
    </row>
    <row r="260" spans="1:11" x14ac:dyDescent="0.3">
      <c r="A260" s="12" t="s">
        <v>536</v>
      </c>
      <c r="B260" s="12" t="s">
        <v>64</v>
      </c>
      <c r="C260" s="12" t="s">
        <v>290</v>
      </c>
      <c r="D260" s="12" t="s">
        <v>88</v>
      </c>
      <c r="E260" s="12">
        <v>562</v>
      </c>
      <c r="F260" s="12">
        <v>158</v>
      </c>
      <c r="G260" s="12">
        <v>149</v>
      </c>
      <c r="H260" s="12">
        <v>869</v>
      </c>
      <c r="I260" s="13">
        <v>0.25771055753262162</v>
      </c>
      <c r="J260" s="12" t="s">
        <v>84</v>
      </c>
      <c r="K260" s="12" t="s">
        <v>79</v>
      </c>
    </row>
    <row r="261" spans="1:11" x14ac:dyDescent="0.3">
      <c r="A261" s="14" t="s">
        <v>537</v>
      </c>
      <c r="B261" s="14" t="s">
        <v>70</v>
      </c>
      <c r="C261" s="14" t="s">
        <v>538</v>
      </c>
      <c r="D261" s="14" t="s">
        <v>80</v>
      </c>
      <c r="E261" s="14">
        <v>4332</v>
      </c>
      <c r="F261" s="14">
        <v>771</v>
      </c>
      <c r="G261" s="14">
        <v>219</v>
      </c>
      <c r="H261" s="14">
        <v>5322</v>
      </c>
      <c r="I261" s="15">
        <v>8.7752275425405618E-2</v>
      </c>
      <c r="J261" s="14" t="s">
        <v>78</v>
      </c>
      <c r="K261" s="14" t="s">
        <v>74</v>
      </c>
    </row>
    <row r="262" spans="1:11" x14ac:dyDescent="0.3">
      <c r="A262" s="12" t="s">
        <v>539</v>
      </c>
      <c r="B262" s="12" t="s">
        <v>70</v>
      </c>
      <c r="C262" s="12" t="s">
        <v>540</v>
      </c>
      <c r="D262" s="12" t="s">
        <v>63</v>
      </c>
      <c r="E262" s="12">
        <v>4853</v>
      </c>
      <c r="F262" s="12">
        <v>837</v>
      </c>
      <c r="G262" s="12">
        <v>340</v>
      </c>
      <c r="H262" s="12">
        <v>6030</v>
      </c>
      <c r="I262" s="13">
        <v>8.2835359571399134E-2</v>
      </c>
      <c r="J262" s="12" t="s">
        <v>67</v>
      </c>
      <c r="K262" s="12" t="s">
        <v>62</v>
      </c>
    </row>
    <row r="263" spans="1:11" x14ac:dyDescent="0.3">
      <c r="A263" s="14" t="s">
        <v>541</v>
      </c>
      <c r="B263" s="14" t="s">
        <v>81</v>
      </c>
      <c r="C263" s="14" t="s">
        <v>509</v>
      </c>
      <c r="D263" s="14" t="s">
        <v>63</v>
      </c>
      <c r="E263" s="14">
        <v>1206</v>
      </c>
      <c r="F263" s="14">
        <v>238</v>
      </c>
      <c r="G263" s="14">
        <v>36</v>
      </c>
      <c r="H263" s="14">
        <v>1480</v>
      </c>
      <c r="I263" s="15">
        <v>0.15339966832504151</v>
      </c>
      <c r="J263" s="14" t="s">
        <v>67</v>
      </c>
      <c r="K263" s="14" t="s">
        <v>74</v>
      </c>
    </row>
    <row r="264" spans="1:11" x14ac:dyDescent="0.3">
      <c r="A264" s="12" t="s">
        <v>542</v>
      </c>
      <c r="B264" s="12" t="s">
        <v>70</v>
      </c>
      <c r="C264" s="12" t="s">
        <v>543</v>
      </c>
      <c r="D264" s="12" t="s">
        <v>75</v>
      </c>
      <c r="E264" s="12">
        <v>2603</v>
      </c>
      <c r="F264" s="12">
        <v>690</v>
      </c>
      <c r="G264" s="12">
        <v>205</v>
      </c>
      <c r="H264" s="12">
        <v>3498</v>
      </c>
      <c r="I264" s="13">
        <v>0.26876680752977328</v>
      </c>
      <c r="J264" s="12" t="s">
        <v>73</v>
      </c>
      <c r="K264" s="12" t="s">
        <v>68</v>
      </c>
    </row>
    <row r="265" spans="1:11" x14ac:dyDescent="0.3">
      <c r="A265" s="14" t="s">
        <v>544</v>
      </c>
      <c r="B265" s="14" t="s">
        <v>76</v>
      </c>
      <c r="C265" s="14" t="s">
        <v>545</v>
      </c>
      <c r="D265" s="14" t="s">
        <v>63</v>
      </c>
      <c r="E265" s="14">
        <v>59</v>
      </c>
      <c r="F265" s="14">
        <v>163</v>
      </c>
      <c r="G265" s="14">
        <v>93</v>
      </c>
      <c r="H265" s="14">
        <v>315</v>
      </c>
      <c r="I265" s="15">
        <v>0.53389830508474578</v>
      </c>
      <c r="J265" s="14" t="s">
        <v>73</v>
      </c>
      <c r="K265" s="14" t="s">
        <v>79</v>
      </c>
    </row>
    <row r="266" spans="1:11" x14ac:dyDescent="0.3">
      <c r="A266" s="12" t="s">
        <v>546</v>
      </c>
      <c r="B266" s="12" t="s">
        <v>76</v>
      </c>
      <c r="C266" s="12" t="s">
        <v>547</v>
      </c>
      <c r="D266" s="12" t="s">
        <v>69</v>
      </c>
      <c r="E266" s="12">
        <v>1877</v>
      </c>
      <c r="F266" s="12">
        <v>745</v>
      </c>
      <c r="G266" s="12">
        <v>225</v>
      </c>
      <c r="H266" s="12">
        <v>2847</v>
      </c>
      <c r="I266" s="13">
        <v>0.25279701651571662</v>
      </c>
      <c r="J266" s="12" t="s">
        <v>61</v>
      </c>
      <c r="K266" s="12" t="s">
        <v>68</v>
      </c>
    </row>
    <row r="267" spans="1:11" x14ac:dyDescent="0.3">
      <c r="A267" s="14" t="s">
        <v>548</v>
      </c>
      <c r="B267" s="14" t="s">
        <v>64</v>
      </c>
      <c r="C267" s="14" t="s">
        <v>179</v>
      </c>
      <c r="D267" s="14" t="s">
        <v>80</v>
      </c>
      <c r="E267" s="14">
        <v>4182</v>
      </c>
      <c r="F267" s="14">
        <v>640</v>
      </c>
      <c r="G267" s="14">
        <v>240</v>
      </c>
      <c r="H267" s="14">
        <v>5062</v>
      </c>
      <c r="I267" s="15">
        <v>0.1008688028056751</v>
      </c>
      <c r="J267" s="14" t="s">
        <v>67</v>
      </c>
      <c r="K267" s="14" t="s">
        <v>74</v>
      </c>
    </row>
    <row r="268" spans="1:11" x14ac:dyDescent="0.3">
      <c r="A268" s="12" t="s">
        <v>549</v>
      </c>
      <c r="B268" s="12" t="s">
        <v>76</v>
      </c>
      <c r="C268" s="12" t="s">
        <v>435</v>
      </c>
      <c r="D268" s="12" t="s">
        <v>75</v>
      </c>
      <c r="E268" s="12">
        <v>4187</v>
      </c>
      <c r="F268" s="12">
        <v>66</v>
      </c>
      <c r="G268" s="12">
        <v>31</v>
      </c>
      <c r="H268" s="12">
        <v>4284</v>
      </c>
      <c r="I268" s="13">
        <v>6.3947934081681396E-2</v>
      </c>
      <c r="J268" s="12" t="s">
        <v>61</v>
      </c>
      <c r="K268" s="12" t="s">
        <v>79</v>
      </c>
    </row>
    <row r="269" spans="1:11" x14ac:dyDescent="0.3">
      <c r="A269" s="14" t="s">
        <v>550</v>
      </c>
      <c r="B269" s="14" t="s">
        <v>70</v>
      </c>
      <c r="C269" s="14" t="s">
        <v>551</v>
      </c>
      <c r="D269" s="14" t="s">
        <v>75</v>
      </c>
      <c r="E269" s="14">
        <v>4579</v>
      </c>
      <c r="F269" s="14">
        <v>125</v>
      </c>
      <c r="G269" s="14">
        <v>300</v>
      </c>
      <c r="H269" s="14">
        <v>5004</v>
      </c>
      <c r="I269" s="15">
        <v>8.4062694239588759E-2</v>
      </c>
      <c r="J269" s="14" t="s">
        <v>61</v>
      </c>
      <c r="K269" s="14" t="s">
        <v>68</v>
      </c>
    </row>
    <row r="270" spans="1:11" x14ac:dyDescent="0.3">
      <c r="A270" s="12" t="s">
        <v>552</v>
      </c>
      <c r="B270" s="12" t="s">
        <v>70</v>
      </c>
      <c r="C270" s="12" t="s">
        <v>553</v>
      </c>
      <c r="D270" s="12" t="s">
        <v>85</v>
      </c>
      <c r="E270" s="12">
        <v>4561</v>
      </c>
      <c r="F270" s="12">
        <v>51</v>
      </c>
      <c r="G270" s="12">
        <v>441</v>
      </c>
      <c r="H270" s="12">
        <v>5053</v>
      </c>
      <c r="I270" s="13">
        <v>0.22157421618066209</v>
      </c>
      <c r="J270" s="12" t="s">
        <v>61</v>
      </c>
      <c r="K270" s="12" t="s">
        <v>62</v>
      </c>
    </row>
    <row r="271" spans="1:11" x14ac:dyDescent="0.3">
      <c r="A271" s="14" t="s">
        <v>554</v>
      </c>
      <c r="B271" s="14" t="s">
        <v>81</v>
      </c>
      <c r="C271" s="14" t="s">
        <v>453</v>
      </c>
      <c r="D271" s="14" t="s">
        <v>75</v>
      </c>
      <c r="E271" s="14">
        <v>3774</v>
      </c>
      <c r="F271" s="14">
        <v>239</v>
      </c>
      <c r="G271" s="14">
        <v>39</v>
      </c>
      <c r="H271" s="14">
        <v>4052</v>
      </c>
      <c r="I271" s="15">
        <v>6.7103868574456813E-2</v>
      </c>
      <c r="J271" s="14" t="s">
        <v>84</v>
      </c>
      <c r="K271" s="14" t="s">
        <v>74</v>
      </c>
    </row>
    <row r="272" spans="1:11" x14ac:dyDescent="0.3">
      <c r="A272" s="12" t="s">
        <v>555</v>
      </c>
      <c r="B272" s="12" t="s">
        <v>70</v>
      </c>
      <c r="C272" s="12" t="s">
        <v>556</v>
      </c>
      <c r="D272" s="12" t="s">
        <v>85</v>
      </c>
      <c r="E272" s="12">
        <v>3575</v>
      </c>
      <c r="F272" s="12">
        <v>749</v>
      </c>
      <c r="G272" s="12">
        <v>111</v>
      </c>
      <c r="H272" s="12">
        <v>4435</v>
      </c>
      <c r="I272" s="13">
        <v>0.2067599067599068</v>
      </c>
      <c r="J272" s="12" t="s">
        <v>84</v>
      </c>
      <c r="K272" s="12" t="s">
        <v>74</v>
      </c>
    </row>
    <row r="273" spans="1:11" x14ac:dyDescent="0.3">
      <c r="A273" s="14" t="s">
        <v>557</v>
      </c>
      <c r="B273" s="14" t="s">
        <v>70</v>
      </c>
      <c r="C273" s="14" t="s">
        <v>525</v>
      </c>
      <c r="D273" s="14" t="s">
        <v>88</v>
      </c>
      <c r="E273" s="14">
        <v>4941</v>
      </c>
      <c r="F273" s="14">
        <v>414</v>
      </c>
      <c r="G273" s="14">
        <v>266</v>
      </c>
      <c r="H273" s="14">
        <v>5621</v>
      </c>
      <c r="I273" s="15">
        <v>0.14220299534507189</v>
      </c>
      <c r="J273" s="14" t="s">
        <v>67</v>
      </c>
      <c r="K273" s="14" t="s">
        <v>62</v>
      </c>
    </row>
    <row r="274" spans="1:11" x14ac:dyDescent="0.3">
      <c r="A274" s="12" t="s">
        <v>558</v>
      </c>
      <c r="B274" s="12" t="s">
        <v>81</v>
      </c>
      <c r="C274" s="12" t="s">
        <v>559</v>
      </c>
      <c r="D274" s="12" t="s">
        <v>80</v>
      </c>
      <c r="E274" s="12">
        <v>3641</v>
      </c>
      <c r="F274" s="12">
        <v>226</v>
      </c>
      <c r="G274" s="12">
        <v>46</v>
      </c>
      <c r="H274" s="12">
        <v>3913</v>
      </c>
      <c r="I274" s="13">
        <v>9.7700431949264685E-2</v>
      </c>
      <c r="J274" s="12" t="s">
        <v>73</v>
      </c>
      <c r="K274" s="12" t="s">
        <v>62</v>
      </c>
    </row>
    <row r="275" spans="1:11" x14ac:dyDescent="0.3">
      <c r="A275" s="14" t="s">
        <v>560</v>
      </c>
      <c r="B275" s="14" t="s">
        <v>76</v>
      </c>
      <c r="C275" s="14" t="s">
        <v>375</v>
      </c>
      <c r="D275" s="14" t="s">
        <v>69</v>
      </c>
      <c r="E275" s="14">
        <v>3535</v>
      </c>
      <c r="F275" s="14">
        <v>494</v>
      </c>
      <c r="G275" s="14">
        <v>152</v>
      </c>
      <c r="H275" s="14">
        <v>4181</v>
      </c>
      <c r="I275" s="15">
        <v>7.8849599245638849E-2</v>
      </c>
      <c r="J275" s="14" t="s">
        <v>73</v>
      </c>
      <c r="K275" s="14" t="s">
        <v>62</v>
      </c>
    </row>
    <row r="276" spans="1:11" x14ac:dyDescent="0.3">
      <c r="A276" s="12" t="s">
        <v>561</v>
      </c>
      <c r="B276" s="12" t="s">
        <v>64</v>
      </c>
      <c r="C276" s="12" t="s">
        <v>535</v>
      </c>
      <c r="D276" s="12" t="s">
        <v>75</v>
      </c>
      <c r="E276" s="12">
        <v>1741</v>
      </c>
      <c r="F276" s="12">
        <v>831</v>
      </c>
      <c r="G276" s="12">
        <v>345</v>
      </c>
      <c r="H276" s="12">
        <v>2917</v>
      </c>
      <c r="I276" s="13">
        <v>0.16754738655944859</v>
      </c>
      <c r="J276" s="12" t="s">
        <v>78</v>
      </c>
      <c r="K276" s="12" t="s">
        <v>79</v>
      </c>
    </row>
    <row r="277" spans="1:11" x14ac:dyDescent="0.3">
      <c r="A277" s="14" t="s">
        <v>562</v>
      </c>
      <c r="B277" s="14" t="s">
        <v>76</v>
      </c>
      <c r="C277" s="14" t="s">
        <v>563</v>
      </c>
      <c r="D277" s="14" t="s">
        <v>69</v>
      </c>
      <c r="E277" s="14">
        <v>1556</v>
      </c>
      <c r="F277" s="14">
        <v>195</v>
      </c>
      <c r="G277" s="14">
        <v>131</v>
      </c>
      <c r="H277" s="14">
        <v>1882</v>
      </c>
      <c r="I277" s="15">
        <v>0.2015852613538989</v>
      </c>
      <c r="J277" s="14" t="s">
        <v>78</v>
      </c>
      <c r="K277" s="14" t="s">
        <v>62</v>
      </c>
    </row>
    <row r="278" spans="1:11" x14ac:dyDescent="0.3">
      <c r="A278" s="12" t="s">
        <v>564</v>
      </c>
      <c r="B278" s="12" t="s">
        <v>64</v>
      </c>
      <c r="C278" s="12" t="s">
        <v>332</v>
      </c>
      <c r="D278" s="12" t="s">
        <v>63</v>
      </c>
      <c r="E278" s="12">
        <v>4236</v>
      </c>
      <c r="F278" s="12">
        <v>711</v>
      </c>
      <c r="G278" s="12">
        <v>298</v>
      </c>
      <c r="H278" s="12">
        <v>5245</v>
      </c>
      <c r="I278" s="13">
        <v>0.24763928234183191</v>
      </c>
      <c r="J278" s="12" t="s">
        <v>73</v>
      </c>
      <c r="K278" s="12" t="s">
        <v>79</v>
      </c>
    </row>
    <row r="279" spans="1:11" x14ac:dyDescent="0.3">
      <c r="A279" s="14" t="s">
        <v>565</v>
      </c>
      <c r="B279" s="14" t="s">
        <v>76</v>
      </c>
      <c r="C279" s="14" t="s">
        <v>566</v>
      </c>
      <c r="D279" s="14" t="s">
        <v>88</v>
      </c>
      <c r="E279" s="14">
        <v>4516</v>
      </c>
      <c r="F279" s="14">
        <v>836</v>
      </c>
      <c r="G279" s="14">
        <v>169</v>
      </c>
      <c r="H279" s="14">
        <v>5521</v>
      </c>
      <c r="I279" s="15">
        <v>0.1111401884209679</v>
      </c>
      <c r="J279" s="14" t="s">
        <v>73</v>
      </c>
      <c r="K279" s="14" t="s">
        <v>68</v>
      </c>
    </row>
    <row r="280" spans="1:11" x14ac:dyDescent="0.3">
      <c r="A280" s="12" t="s">
        <v>567</v>
      </c>
      <c r="B280" s="12" t="s">
        <v>81</v>
      </c>
      <c r="C280" s="12" t="s">
        <v>239</v>
      </c>
      <c r="D280" s="12" t="s">
        <v>63</v>
      </c>
      <c r="E280" s="12">
        <v>4905</v>
      </c>
      <c r="F280" s="12">
        <v>845</v>
      </c>
      <c r="G280" s="12">
        <v>129</v>
      </c>
      <c r="H280" s="12">
        <v>5879</v>
      </c>
      <c r="I280" s="13">
        <v>5.9928644240570837E-2</v>
      </c>
      <c r="J280" s="12" t="s">
        <v>73</v>
      </c>
      <c r="K280" s="12" t="s">
        <v>79</v>
      </c>
    </row>
    <row r="281" spans="1:11" x14ac:dyDescent="0.3">
      <c r="A281" s="14" t="s">
        <v>568</v>
      </c>
      <c r="B281" s="14" t="s">
        <v>81</v>
      </c>
      <c r="C281" s="14" t="s">
        <v>213</v>
      </c>
      <c r="D281" s="14" t="s">
        <v>85</v>
      </c>
      <c r="E281" s="14">
        <v>4275</v>
      </c>
      <c r="F281" s="14">
        <v>680</v>
      </c>
      <c r="G281" s="14">
        <v>385</v>
      </c>
      <c r="H281" s="14">
        <v>5340</v>
      </c>
      <c r="I281" s="15">
        <v>8.3274853801169585E-2</v>
      </c>
      <c r="J281" s="14" t="s">
        <v>61</v>
      </c>
      <c r="K281" s="14" t="s">
        <v>79</v>
      </c>
    </row>
    <row r="282" spans="1:11" x14ac:dyDescent="0.3">
      <c r="A282" s="12" t="s">
        <v>569</v>
      </c>
      <c r="B282" s="12" t="s">
        <v>81</v>
      </c>
      <c r="C282" s="12" t="s">
        <v>570</v>
      </c>
      <c r="D282" s="12" t="s">
        <v>63</v>
      </c>
      <c r="E282" s="12">
        <v>3166</v>
      </c>
      <c r="F282" s="12">
        <v>90</v>
      </c>
      <c r="G282" s="12">
        <v>341</v>
      </c>
      <c r="H282" s="12">
        <v>3597</v>
      </c>
      <c r="I282" s="13">
        <v>6.3118551273952411E-2</v>
      </c>
      <c r="J282" s="12" t="s">
        <v>78</v>
      </c>
      <c r="K282" s="12" t="s">
        <v>62</v>
      </c>
    </row>
    <row r="283" spans="1:11" x14ac:dyDescent="0.3">
      <c r="A283" s="14" t="s">
        <v>571</v>
      </c>
      <c r="B283" s="14" t="s">
        <v>70</v>
      </c>
      <c r="C283" s="14" t="s">
        <v>572</v>
      </c>
      <c r="D283" s="14" t="s">
        <v>85</v>
      </c>
      <c r="E283" s="14">
        <v>1488</v>
      </c>
      <c r="F283" s="14">
        <v>417</v>
      </c>
      <c r="G283" s="14">
        <v>168</v>
      </c>
      <c r="H283" s="14">
        <v>2073</v>
      </c>
      <c r="I283" s="15">
        <v>0.1071650124069479</v>
      </c>
      <c r="J283" s="14" t="s">
        <v>67</v>
      </c>
      <c r="K283" s="14" t="s">
        <v>68</v>
      </c>
    </row>
    <row r="284" spans="1:11" x14ac:dyDescent="0.3">
      <c r="A284" s="12" t="s">
        <v>573</v>
      </c>
      <c r="B284" s="12" t="s">
        <v>76</v>
      </c>
      <c r="C284" s="12" t="s">
        <v>574</v>
      </c>
      <c r="D284" s="12" t="s">
        <v>75</v>
      </c>
      <c r="E284" s="12">
        <v>3367</v>
      </c>
      <c r="F284" s="12">
        <v>302</v>
      </c>
      <c r="G284" s="12">
        <v>57</v>
      </c>
      <c r="H284" s="12">
        <v>3726</v>
      </c>
      <c r="I284" s="13">
        <v>5.8243321401216137E-2</v>
      </c>
      <c r="J284" s="12" t="s">
        <v>73</v>
      </c>
      <c r="K284" s="12" t="s">
        <v>74</v>
      </c>
    </row>
    <row r="285" spans="1:11" x14ac:dyDescent="0.3">
      <c r="A285" s="14" t="s">
        <v>575</v>
      </c>
      <c r="B285" s="14" t="s">
        <v>76</v>
      </c>
      <c r="C285" s="14" t="s">
        <v>155</v>
      </c>
      <c r="D285" s="14" t="s">
        <v>88</v>
      </c>
      <c r="E285" s="14">
        <v>571</v>
      </c>
      <c r="F285" s="14">
        <v>190</v>
      </c>
      <c r="G285" s="14">
        <v>352</v>
      </c>
      <c r="H285" s="14">
        <v>1113</v>
      </c>
      <c r="I285" s="15">
        <v>0.1146595240548058</v>
      </c>
      <c r="J285" s="14" t="s">
        <v>84</v>
      </c>
      <c r="K285" s="14" t="s">
        <v>62</v>
      </c>
    </row>
    <row r="286" spans="1:11" x14ac:dyDescent="0.3">
      <c r="A286" s="12" t="s">
        <v>576</v>
      </c>
      <c r="B286" s="12" t="s">
        <v>81</v>
      </c>
      <c r="C286" s="12" t="s">
        <v>468</v>
      </c>
      <c r="D286" s="12" t="s">
        <v>88</v>
      </c>
      <c r="E286" s="12">
        <v>4021</v>
      </c>
      <c r="F286" s="12">
        <v>794</v>
      </c>
      <c r="G286" s="12">
        <v>77</v>
      </c>
      <c r="H286" s="12">
        <v>4892</v>
      </c>
      <c r="I286" s="13">
        <v>0.1351791980988698</v>
      </c>
      <c r="J286" s="12" t="s">
        <v>84</v>
      </c>
      <c r="K286" s="12" t="s">
        <v>68</v>
      </c>
    </row>
    <row r="287" spans="1:11" x14ac:dyDescent="0.3">
      <c r="A287" s="14" t="s">
        <v>577</v>
      </c>
      <c r="B287" s="14" t="s">
        <v>81</v>
      </c>
      <c r="C287" s="14" t="s">
        <v>578</v>
      </c>
      <c r="D287" s="14" t="s">
        <v>85</v>
      </c>
      <c r="E287" s="14">
        <v>3389</v>
      </c>
      <c r="F287" s="14">
        <v>344</v>
      </c>
      <c r="G287" s="14">
        <v>229</v>
      </c>
      <c r="H287" s="14">
        <v>3962</v>
      </c>
      <c r="I287" s="15">
        <v>0.19484607062063539</v>
      </c>
      <c r="J287" s="14" t="s">
        <v>78</v>
      </c>
      <c r="K287" s="14" t="s">
        <v>62</v>
      </c>
    </row>
    <row r="288" spans="1:11" x14ac:dyDescent="0.3">
      <c r="A288" s="12" t="s">
        <v>579</v>
      </c>
      <c r="B288" s="12" t="s">
        <v>70</v>
      </c>
      <c r="C288" s="12" t="s">
        <v>443</v>
      </c>
      <c r="D288" s="12" t="s">
        <v>75</v>
      </c>
      <c r="E288" s="12">
        <v>1164</v>
      </c>
      <c r="F288" s="12">
        <v>616</v>
      </c>
      <c r="G288" s="12">
        <v>324</v>
      </c>
      <c r="H288" s="12">
        <v>2104</v>
      </c>
      <c r="I288" s="13">
        <v>0.30126002290950737</v>
      </c>
      <c r="J288" s="12" t="s">
        <v>78</v>
      </c>
      <c r="K288" s="12" t="s">
        <v>74</v>
      </c>
    </row>
    <row r="289" spans="1:11" x14ac:dyDescent="0.3">
      <c r="A289" s="14" t="s">
        <v>580</v>
      </c>
      <c r="B289" s="14" t="s">
        <v>81</v>
      </c>
      <c r="C289" s="14" t="s">
        <v>581</v>
      </c>
      <c r="D289" s="14" t="s">
        <v>69</v>
      </c>
      <c r="E289" s="14">
        <v>4780</v>
      </c>
      <c r="F289" s="14">
        <v>691</v>
      </c>
      <c r="G289" s="14">
        <v>380</v>
      </c>
      <c r="H289" s="14">
        <v>5851</v>
      </c>
      <c r="I289" s="15">
        <v>6.800325430032543E-2</v>
      </c>
      <c r="J289" s="14" t="s">
        <v>78</v>
      </c>
      <c r="K289" s="14" t="s">
        <v>74</v>
      </c>
    </row>
    <row r="290" spans="1:11" x14ac:dyDescent="0.3">
      <c r="A290" s="12" t="s">
        <v>582</v>
      </c>
      <c r="B290" s="12" t="s">
        <v>64</v>
      </c>
      <c r="C290" s="12" t="s">
        <v>348</v>
      </c>
      <c r="D290" s="12" t="s">
        <v>69</v>
      </c>
      <c r="E290" s="12">
        <v>2751</v>
      </c>
      <c r="F290" s="12">
        <v>33</v>
      </c>
      <c r="G290" s="12">
        <v>430</v>
      </c>
      <c r="H290" s="12">
        <v>3214</v>
      </c>
      <c r="I290" s="13">
        <v>7.3018902217375503E-2</v>
      </c>
      <c r="J290" s="12" t="s">
        <v>73</v>
      </c>
      <c r="K290" s="12" t="s">
        <v>62</v>
      </c>
    </row>
    <row r="291" spans="1:11" x14ac:dyDescent="0.3">
      <c r="A291" s="14" t="s">
        <v>583</v>
      </c>
      <c r="B291" s="14" t="s">
        <v>70</v>
      </c>
      <c r="C291" s="14" t="s">
        <v>584</v>
      </c>
      <c r="D291" s="14" t="s">
        <v>69</v>
      </c>
      <c r="E291" s="14">
        <v>2107</v>
      </c>
      <c r="F291" s="14">
        <v>550</v>
      </c>
      <c r="G291" s="14">
        <v>349</v>
      </c>
      <c r="H291" s="14">
        <v>3006</v>
      </c>
      <c r="I291" s="15">
        <v>8.3921940869371006E-2</v>
      </c>
      <c r="J291" s="14" t="s">
        <v>73</v>
      </c>
      <c r="K291" s="14" t="s">
        <v>74</v>
      </c>
    </row>
    <row r="292" spans="1:11" x14ac:dyDescent="0.3">
      <c r="A292" s="12" t="s">
        <v>585</v>
      </c>
      <c r="B292" s="12" t="s">
        <v>64</v>
      </c>
      <c r="C292" s="12" t="s">
        <v>147</v>
      </c>
      <c r="D292" s="12" t="s">
        <v>85</v>
      </c>
      <c r="E292" s="12">
        <v>4663</v>
      </c>
      <c r="F292" s="12">
        <v>145</v>
      </c>
      <c r="G292" s="12">
        <v>225</v>
      </c>
      <c r="H292" s="12">
        <v>5033</v>
      </c>
      <c r="I292" s="13">
        <v>7.1956537279290869E-2</v>
      </c>
      <c r="J292" s="12" t="s">
        <v>78</v>
      </c>
      <c r="K292" s="12" t="s">
        <v>62</v>
      </c>
    </row>
    <row r="293" spans="1:11" x14ac:dyDescent="0.3">
      <c r="A293" s="14" t="s">
        <v>586</v>
      </c>
      <c r="B293" s="14" t="s">
        <v>64</v>
      </c>
      <c r="C293" s="14" t="s">
        <v>587</v>
      </c>
      <c r="D293" s="14" t="s">
        <v>88</v>
      </c>
      <c r="E293" s="14">
        <v>880</v>
      </c>
      <c r="F293" s="14">
        <v>297</v>
      </c>
      <c r="G293" s="14">
        <v>345</v>
      </c>
      <c r="H293" s="14">
        <v>1522</v>
      </c>
      <c r="I293" s="15">
        <v>0.123538961038961</v>
      </c>
      <c r="J293" s="14" t="s">
        <v>67</v>
      </c>
      <c r="K293" s="14" t="s">
        <v>62</v>
      </c>
    </row>
    <row r="294" spans="1:11" x14ac:dyDescent="0.3">
      <c r="A294" s="12" t="s">
        <v>588</v>
      </c>
      <c r="B294" s="12" t="s">
        <v>64</v>
      </c>
      <c r="C294" s="12" t="s">
        <v>589</v>
      </c>
      <c r="D294" s="12" t="s">
        <v>88</v>
      </c>
      <c r="E294" s="12">
        <v>2634</v>
      </c>
      <c r="F294" s="12">
        <v>726</v>
      </c>
      <c r="G294" s="12">
        <v>241</v>
      </c>
      <c r="H294" s="12">
        <v>3601</v>
      </c>
      <c r="I294" s="13">
        <v>0.1242838406847518</v>
      </c>
      <c r="J294" s="12" t="s">
        <v>61</v>
      </c>
      <c r="K294" s="12" t="s">
        <v>74</v>
      </c>
    </row>
    <row r="295" spans="1:11" x14ac:dyDescent="0.3">
      <c r="A295" s="14" t="s">
        <v>590</v>
      </c>
      <c r="B295" s="14" t="s">
        <v>64</v>
      </c>
      <c r="C295" s="14" t="s">
        <v>591</v>
      </c>
      <c r="D295" s="14" t="s">
        <v>69</v>
      </c>
      <c r="E295" s="14">
        <v>4731</v>
      </c>
      <c r="F295" s="14">
        <v>173</v>
      </c>
      <c r="G295" s="14">
        <v>276</v>
      </c>
      <c r="H295" s="14">
        <v>5180</v>
      </c>
      <c r="I295" s="15">
        <v>0.18248432325794409</v>
      </c>
      <c r="J295" s="14" t="s">
        <v>73</v>
      </c>
      <c r="K295" s="14" t="s">
        <v>79</v>
      </c>
    </row>
    <row r="296" spans="1:11" x14ac:dyDescent="0.3">
      <c r="A296" s="12" t="s">
        <v>592</v>
      </c>
      <c r="B296" s="12" t="s">
        <v>76</v>
      </c>
      <c r="C296" s="12" t="s">
        <v>474</v>
      </c>
      <c r="D296" s="12" t="s">
        <v>63</v>
      </c>
      <c r="E296" s="12">
        <v>1952</v>
      </c>
      <c r="F296" s="12">
        <v>344</v>
      </c>
      <c r="G296" s="12">
        <v>287</v>
      </c>
      <c r="H296" s="12">
        <v>2583</v>
      </c>
      <c r="I296" s="13">
        <v>0.16540727459016391</v>
      </c>
      <c r="J296" s="12" t="s">
        <v>67</v>
      </c>
      <c r="K296" s="12" t="s">
        <v>74</v>
      </c>
    </row>
    <row r="297" spans="1:11" x14ac:dyDescent="0.3">
      <c r="A297" s="14" t="s">
        <v>593</v>
      </c>
      <c r="B297" s="14" t="s">
        <v>76</v>
      </c>
      <c r="C297" s="14" t="s">
        <v>594</v>
      </c>
      <c r="D297" s="14" t="s">
        <v>85</v>
      </c>
      <c r="E297" s="14">
        <v>3440</v>
      </c>
      <c r="F297" s="14">
        <v>13</v>
      </c>
      <c r="G297" s="14">
        <v>20</v>
      </c>
      <c r="H297" s="14">
        <v>3473</v>
      </c>
      <c r="I297" s="15">
        <v>5.9387824897400819E-2</v>
      </c>
      <c r="J297" s="14" t="s">
        <v>78</v>
      </c>
      <c r="K297" s="14" t="s">
        <v>68</v>
      </c>
    </row>
    <row r="298" spans="1:11" x14ac:dyDescent="0.3">
      <c r="A298" s="12" t="s">
        <v>595</v>
      </c>
      <c r="B298" s="12" t="s">
        <v>76</v>
      </c>
      <c r="C298" s="12" t="s">
        <v>596</v>
      </c>
      <c r="D298" s="12" t="s">
        <v>88</v>
      </c>
      <c r="E298" s="12">
        <v>2166</v>
      </c>
      <c r="F298" s="12">
        <v>354</v>
      </c>
      <c r="G298" s="12">
        <v>117</v>
      </c>
      <c r="H298" s="12">
        <v>2637</v>
      </c>
      <c r="I298" s="13">
        <v>0.24349030470914129</v>
      </c>
      <c r="J298" s="12" t="s">
        <v>61</v>
      </c>
      <c r="K298" s="12" t="s">
        <v>68</v>
      </c>
    </row>
    <row r="299" spans="1:11" x14ac:dyDescent="0.3">
      <c r="A299" s="14" t="s">
        <v>597</v>
      </c>
      <c r="B299" s="14" t="s">
        <v>64</v>
      </c>
      <c r="C299" s="14" t="s">
        <v>131</v>
      </c>
      <c r="D299" s="14" t="s">
        <v>63</v>
      </c>
      <c r="E299" s="14">
        <v>4303</v>
      </c>
      <c r="F299" s="14">
        <v>451</v>
      </c>
      <c r="G299" s="14">
        <v>286</v>
      </c>
      <c r="H299" s="14">
        <v>5040</v>
      </c>
      <c r="I299" s="15">
        <v>5.8563792702765523E-2</v>
      </c>
      <c r="J299" s="14" t="s">
        <v>67</v>
      </c>
      <c r="K299" s="14" t="s">
        <v>62</v>
      </c>
    </row>
    <row r="300" spans="1:11" x14ac:dyDescent="0.3">
      <c r="A300" s="12" t="s">
        <v>598</v>
      </c>
      <c r="B300" s="12" t="s">
        <v>64</v>
      </c>
      <c r="C300" s="12" t="s">
        <v>133</v>
      </c>
      <c r="D300" s="12" t="s">
        <v>63</v>
      </c>
      <c r="E300" s="12">
        <v>2581</v>
      </c>
      <c r="F300" s="12">
        <v>517</v>
      </c>
      <c r="G300" s="12">
        <v>117</v>
      </c>
      <c r="H300" s="12">
        <v>3215</v>
      </c>
      <c r="I300" s="13">
        <v>0.13840458048129489</v>
      </c>
      <c r="J300" s="12" t="s">
        <v>67</v>
      </c>
      <c r="K300" s="12" t="s">
        <v>62</v>
      </c>
    </row>
    <row r="301" spans="1:11" x14ac:dyDescent="0.3">
      <c r="A301" s="14" t="s">
        <v>599</v>
      </c>
      <c r="B301" s="14" t="s">
        <v>76</v>
      </c>
      <c r="C301" s="14" t="s">
        <v>358</v>
      </c>
      <c r="D301" s="14" t="s">
        <v>69</v>
      </c>
      <c r="E301" s="14">
        <v>4494</v>
      </c>
      <c r="F301" s="14">
        <v>717</v>
      </c>
      <c r="G301" s="14">
        <v>45</v>
      </c>
      <c r="H301" s="14">
        <v>5256</v>
      </c>
      <c r="I301" s="15">
        <v>8.3539958039290485E-2</v>
      </c>
      <c r="J301" s="14" t="s">
        <v>78</v>
      </c>
      <c r="K301" s="14" t="s">
        <v>68</v>
      </c>
    </row>
  </sheetData>
  <autoFilter ref="A1:K3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AF50"/>
  </sheetPr>
  <dimension ref="A1:M32"/>
  <sheetViews>
    <sheetView showGridLines="0" workbookViewId="0">
      <selection sqref="A1:M1"/>
    </sheetView>
  </sheetViews>
  <sheetFormatPr defaultRowHeight="14.4" x14ac:dyDescent="0.3"/>
  <cols>
    <col min="1" max="1" width="20" customWidth="1"/>
    <col min="2" max="2" width="18" customWidth="1"/>
    <col min="3" max="6" width="14" customWidth="1"/>
    <col min="8" max="8" width="20" customWidth="1"/>
    <col min="9" max="9" width="18" customWidth="1"/>
    <col min="10" max="13" width="14" customWidth="1"/>
  </cols>
  <sheetData>
    <row r="1" spans="1:13" ht="28.05" customHeight="1" x14ac:dyDescent="0.3">
      <c r="A1" s="62" t="s">
        <v>600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3" spans="1:13" ht="19.95" customHeight="1" x14ac:dyDescent="0.3">
      <c r="A3" s="63" t="s">
        <v>601</v>
      </c>
      <c r="B3" s="21"/>
      <c r="C3" s="21"/>
      <c r="D3" s="21"/>
      <c r="E3" s="21"/>
      <c r="F3" s="21"/>
      <c r="H3" s="63" t="s">
        <v>602</v>
      </c>
      <c r="I3" s="21"/>
      <c r="J3" s="21"/>
      <c r="K3" s="21"/>
    </row>
    <row r="4" spans="1:13" x14ac:dyDescent="0.3">
      <c r="A4" s="7" t="s">
        <v>57</v>
      </c>
      <c r="B4" s="7" t="s">
        <v>100</v>
      </c>
      <c r="C4" s="7" t="s">
        <v>99</v>
      </c>
      <c r="D4" s="7" t="s">
        <v>54</v>
      </c>
      <c r="E4" s="7" t="s">
        <v>55</v>
      </c>
      <c r="F4" s="7" t="s">
        <v>53</v>
      </c>
      <c r="H4" s="6" t="s">
        <v>56</v>
      </c>
      <c r="I4" s="6" t="s">
        <v>100</v>
      </c>
      <c r="J4" s="6" t="s">
        <v>99</v>
      </c>
      <c r="K4" s="6" t="s">
        <v>603</v>
      </c>
    </row>
    <row r="5" spans="1:13" x14ac:dyDescent="0.3">
      <c r="A5" s="16" t="s">
        <v>62</v>
      </c>
      <c r="B5" s="17" t="s">
        <v>604</v>
      </c>
      <c r="C5" s="17" t="s">
        <v>605</v>
      </c>
      <c r="D5" s="17" t="s">
        <v>606</v>
      </c>
      <c r="E5" s="17" t="s">
        <v>607</v>
      </c>
      <c r="F5" s="17" t="s">
        <v>608</v>
      </c>
      <c r="H5" s="16" t="s">
        <v>61</v>
      </c>
      <c r="I5" s="17" t="s">
        <v>609</v>
      </c>
      <c r="J5" s="17" t="s">
        <v>610</v>
      </c>
      <c r="K5" s="17" t="s">
        <v>611</v>
      </c>
    </row>
    <row r="6" spans="1:13" x14ac:dyDescent="0.3">
      <c r="A6" s="18" t="s">
        <v>68</v>
      </c>
      <c r="B6" s="19" t="s">
        <v>612</v>
      </c>
      <c r="C6" s="19" t="s">
        <v>613</v>
      </c>
      <c r="D6" s="19" t="s">
        <v>614</v>
      </c>
      <c r="E6" s="19" t="s">
        <v>615</v>
      </c>
      <c r="F6" s="19" t="s">
        <v>616</v>
      </c>
      <c r="H6" s="18" t="s">
        <v>67</v>
      </c>
      <c r="I6" s="19" t="s">
        <v>617</v>
      </c>
      <c r="J6" s="19" t="s">
        <v>618</v>
      </c>
      <c r="K6" s="19" t="s">
        <v>619</v>
      </c>
    </row>
    <row r="7" spans="1:13" x14ac:dyDescent="0.3">
      <c r="A7" s="16" t="s">
        <v>74</v>
      </c>
      <c r="B7" s="17" t="s">
        <v>620</v>
      </c>
      <c r="C7" s="17" t="s">
        <v>621</v>
      </c>
      <c r="D7" s="17" t="s">
        <v>622</v>
      </c>
      <c r="E7" s="17" t="s">
        <v>623</v>
      </c>
      <c r="F7" s="17" t="s">
        <v>624</v>
      </c>
      <c r="H7" s="16" t="s">
        <v>73</v>
      </c>
      <c r="I7" s="17" t="s">
        <v>625</v>
      </c>
      <c r="J7" s="17" t="s">
        <v>626</v>
      </c>
      <c r="K7" s="17" t="s">
        <v>627</v>
      </c>
    </row>
    <row r="8" spans="1:13" x14ac:dyDescent="0.3">
      <c r="A8" s="18" t="s">
        <v>79</v>
      </c>
      <c r="B8" s="19" t="s">
        <v>628</v>
      </c>
      <c r="C8" s="19" t="s">
        <v>629</v>
      </c>
      <c r="D8" s="19" t="s">
        <v>630</v>
      </c>
      <c r="E8" s="19" t="s">
        <v>631</v>
      </c>
      <c r="F8" s="19" t="s">
        <v>632</v>
      </c>
      <c r="H8" s="18" t="s">
        <v>78</v>
      </c>
      <c r="I8" s="19" t="s">
        <v>633</v>
      </c>
      <c r="J8" s="19" t="s">
        <v>634</v>
      </c>
      <c r="K8" s="19" t="s">
        <v>635</v>
      </c>
    </row>
    <row r="9" spans="1:13" x14ac:dyDescent="0.3">
      <c r="H9" s="16" t="s">
        <v>84</v>
      </c>
      <c r="I9" s="17" t="s">
        <v>636</v>
      </c>
      <c r="J9" s="17" t="s">
        <v>637</v>
      </c>
      <c r="K9" s="17" t="s">
        <v>638</v>
      </c>
    </row>
    <row r="10" spans="1:13" ht="19.95" customHeight="1" x14ac:dyDescent="0.3">
      <c r="A10" s="63" t="s">
        <v>639</v>
      </c>
      <c r="B10" s="21"/>
      <c r="C10" s="21"/>
      <c r="D10" s="21"/>
    </row>
    <row r="11" spans="1:13" x14ac:dyDescent="0.3">
      <c r="A11" s="8" t="s">
        <v>58</v>
      </c>
      <c r="B11" s="8" t="s">
        <v>100</v>
      </c>
      <c r="C11" s="8" t="s">
        <v>99</v>
      </c>
      <c r="D11" s="8" t="s">
        <v>53</v>
      </c>
    </row>
    <row r="12" spans="1:13" ht="19.95" customHeight="1" x14ac:dyDescent="0.3">
      <c r="A12" s="16" t="s">
        <v>63</v>
      </c>
      <c r="B12" s="17" t="s">
        <v>640</v>
      </c>
      <c r="C12" s="17" t="s">
        <v>641</v>
      </c>
      <c r="D12" s="17" t="s">
        <v>616</v>
      </c>
      <c r="H12" s="63" t="s">
        <v>642</v>
      </c>
      <c r="I12" s="21"/>
      <c r="J12" s="21"/>
      <c r="K12" s="21"/>
      <c r="L12" s="21"/>
      <c r="M12" s="21"/>
    </row>
    <row r="13" spans="1:13" x14ac:dyDescent="0.3">
      <c r="A13" s="18" t="s">
        <v>69</v>
      </c>
      <c r="B13" s="19" t="s">
        <v>643</v>
      </c>
      <c r="C13" s="19" t="s">
        <v>644</v>
      </c>
      <c r="D13" s="19" t="s">
        <v>11</v>
      </c>
      <c r="H13" s="9" t="s">
        <v>59</v>
      </c>
      <c r="I13" s="9" t="s">
        <v>100</v>
      </c>
      <c r="J13" s="9" t="s">
        <v>99</v>
      </c>
      <c r="K13" s="9" t="s">
        <v>54</v>
      </c>
      <c r="L13" s="9" t="s">
        <v>55</v>
      </c>
      <c r="M13" s="9" t="s">
        <v>603</v>
      </c>
    </row>
    <row r="14" spans="1:13" x14ac:dyDescent="0.3">
      <c r="A14" s="16" t="s">
        <v>75</v>
      </c>
      <c r="B14" s="17" t="s">
        <v>645</v>
      </c>
      <c r="C14" s="17" t="s">
        <v>646</v>
      </c>
      <c r="D14" s="17" t="s">
        <v>647</v>
      </c>
      <c r="H14" s="16" t="s">
        <v>64</v>
      </c>
      <c r="I14" s="17" t="s">
        <v>648</v>
      </c>
      <c r="J14" s="17" t="s">
        <v>649</v>
      </c>
      <c r="K14" s="17" t="s">
        <v>650</v>
      </c>
      <c r="L14" s="17" t="s">
        <v>651</v>
      </c>
      <c r="M14" s="17" t="s">
        <v>652</v>
      </c>
    </row>
    <row r="15" spans="1:13" x14ac:dyDescent="0.3">
      <c r="A15" s="18" t="s">
        <v>80</v>
      </c>
      <c r="B15" s="19" t="s">
        <v>653</v>
      </c>
      <c r="C15" s="19" t="s">
        <v>654</v>
      </c>
      <c r="D15" s="19" t="s">
        <v>655</v>
      </c>
      <c r="H15" s="18" t="s">
        <v>70</v>
      </c>
      <c r="I15" s="19" t="s">
        <v>656</v>
      </c>
      <c r="J15" s="19" t="s">
        <v>657</v>
      </c>
      <c r="K15" s="19" t="s">
        <v>658</v>
      </c>
      <c r="L15" s="19" t="s">
        <v>659</v>
      </c>
      <c r="M15" s="19" t="s">
        <v>660</v>
      </c>
    </row>
    <row r="16" spans="1:13" x14ac:dyDescent="0.3">
      <c r="A16" s="16" t="s">
        <v>85</v>
      </c>
      <c r="B16" s="17" t="s">
        <v>661</v>
      </c>
      <c r="C16" s="17" t="s">
        <v>662</v>
      </c>
      <c r="D16" s="17" t="s">
        <v>11</v>
      </c>
      <c r="H16" s="16" t="s">
        <v>76</v>
      </c>
      <c r="I16" s="17" t="s">
        <v>663</v>
      </c>
      <c r="J16" s="17" t="s">
        <v>664</v>
      </c>
      <c r="K16" s="17" t="s">
        <v>665</v>
      </c>
      <c r="L16" s="17" t="s">
        <v>666</v>
      </c>
      <c r="M16" s="17" t="s">
        <v>624</v>
      </c>
    </row>
    <row r="17" spans="1:13" x14ac:dyDescent="0.3">
      <c r="A17" s="18" t="s">
        <v>88</v>
      </c>
      <c r="B17" s="19" t="s">
        <v>667</v>
      </c>
      <c r="C17" s="19" t="s">
        <v>668</v>
      </c>
      <c r="D17" s="19" t="s">
        <v>669</v>
      </c>
      <c r="H17" s="18" t="s">
        <v>81</v>
      </c>
      <c r="I17" s="19" t="s">
        <v>670</v>
      </c>
      <c r="J17" s="19" t="s">
        <v>671</v>
      </c>
      <c r="K17" s="19" t="s">
        <v>672</v>
      </c>
      <c r="L17" s="19" t="s">
        <v>673</v>
      </c>
      <c r="M17" s="19" t="s">
        <v>674</v>
      </c>
    </row>
    <row r="19" spans="1:13" ht="19.95" customHeight="1" x14ac:dyDescent="0.3">
      <c r="A19" s="63" t="s">
        <v>675</v>
      </c>
      <c r="B19" s="21"/>
      <c r="C19" s="21"/>
      <c r="D19" s="21"/>
    </row>
    <row r="20" spans="1:13" x14ac:dyDescent="0.3">
      <c r="A20" s="5" t="s">
        <v>50</v>
      </c>
      <c r="B20" s="5" t="s">
        <v>51</v>
      </c>
      <c r="C20" s="5" t="s">
        <v>52</v>
      </c>
      <c r="D20" s="5" t="s">
        <v>53</v>
      </c>
    </row>
    <row r="21" spans="1:13" x14ac:dyDescent="0.3">
      <c r="A21" s="16" t="s">
        <v>60</v>
      </c>
      <c r="B21" s="17" t="s">
        <v>676</v>
      </c>
      <c r="C21" s="17" t="s">
        <v>677</v>
      </c>
      <c r="D21" s="17" t="s">
        <v>678</v>
      </c>
    </row>
    <row r="22" spans="1:13" x14ac:dyDescent="0.3">
      <c r="A22" s="18" t="s">
        <v>66</v>
      </c>
      <c r="B22" s="19" t="s">
        <v>679</v>
      </c>
      <c r="C22" s="19" t="s">
        <v>680</v>
      </c>
      <c r="D22" s="19" t="s">
        <v>681</v>
      </c>
    </row>
    <row r="23" spans="1:13" x14ac:dyDescent="0.3">
      <c r="A23" s="16" t="s">
        <v>72</v>
      </c>
      <c r="B23" s="17" t="s">
        <v>682</v>
      </c>
      <c r="C23" s="17" t="s">
        <v>683</v>
      </c>
      <c r="D23" s="17" t="s">
        <v>684</v>
      </c>
    </row>
    <row r="24" spans="1:13" x14ac:dyDescent="0.3">
      <c r="A24" s="18" t="s">
        <v>77</v>
      </c>
      <c r="B24" s="19" t="s">
        <v>685</v>
      </c>
      <c r="C24" s="19" t="s">
        <v>686</v>
      </c>
      <c r="D24" s="19" t="s">
        <v>638</v>
      </c>
    </row>
    <row r="25" spans="1:13" x14ac:dyDescent="0.3">
      <c r="A25" s="16" t="s">
        <v>83</v>
      </c>
      <c r="B25" s="17" t="s">
        <v>687</v>
      </c>
      <c r="C25" s="17" t="s">
        <v>688</v>
      </c>
      <c r="D25" s="17" t="s">
        <v>684</v>
      </c>
    </row>
    <row r="26" spans="1:13" x14ac:dyDescent="0.3">
      <c r="A26" s="18" t="s">
        <v>87</v>
      </c>
      <c r="B26" s="19" t="s">
        <v>689</v>
      </c>
      <c r="C26" s="19" t="s">
        <v>690</v>
      </c>
      <c r="D26" s="19" t="s">
        <v>635</v>
      </c>
    </row>
    <row r="27" spans="1:13" x14ac:dyDescent="0.3">
      <c r="A27" s="16" t="s">
        <v>90</v>
      </c>
      <c r="B27" s="17" t="s">
        <v>691</v>
      </c>
      <c r="C27" s="17" t="s">
        <v>692</v>
      </c>
      <c r="D27" s="17" t="s">
        <v>632</v>
      </c>
    </row>
    <row r="28" spans="1:13" x14ac:dyDescent="0.3">
      <c r="A28" s="18" t="s">
        <v>92</v>
      </c>
      <c r="B28" s="19" t="s">
        <v>693</v>
      </c>
      <c r="C28" s="19" t="s">
        <v>694</v>
      </c>
      <c r="D28" s="19" t="s">
        <v>695</v>
      </c>
    </row>
    <row r="29" spans="1:13" x14ac:dyDescent="0.3">
      <c r="A29" s="16" t="s">
        <v>93</v>
      </c>
      <c r="B29" s="17" t="s">
        <v>696</v>
      </c>
      <c r="C29" s="17" t="s">
        <v>697</v>
      </c>
      <c r="D29" s="17" t="s">
        <v>698</v>
      </c>
    </row>
    <row r="30" spans="1:13" x14ac:dyDescent="0.3">
      <c r="A30" s="18" t="s">
        <v>94</v>
      </c>
      <c r="B30" s="19" t="s">
        <v>699</v>
      </c>
      <c r="C30" s="19" t="s">
        <v>700</v>
      </c>
      <c r="D30" s="19" t="s">
        <v>701</v>
      </c>
    </row>
    <row r="31" spans="1:13" x14ac:dyDescent="0.3">
      <c r="A31" s="16" t="s">
        <v>95</v>
      </c>
      <c r="B31" s="17" t="s">
        <v>702</v>
      </c>
      <c r="C31" s="17" t="s">
        <v>703</v>
      </c>
      <c r="D31" s="17" t="s">
        <v>704</v>
      </c>
    </row>
    <row r="32" spans="1:13" x14ac:dyDescent="0.3">
      <c r="A32" s="18" t="s">
        <v>96</v>
      </c>
      <c r="B32" s="19" t="s">
        <v>705</v>
      </c>
      <c r="C32" s="19" t="s">
        <v>706</v>
      </c>
      <c r="D32" s="19" t="s">
        <v>707</v>
      </c>
    </row>
  </sheetData>
  <mergeCells count="6">
    <mergeCell ref="A1:M1"/>
    <mergeCell ref="H12:M12"/>
    <mergeCell ref="H3:K3"/>
    <mergeCell ref="A19:D19"/>
    <mergeCell ref="A3:F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Dashboard</vt:lpstr>
      <vt:lpstr>Data</vt:lpstr>
      <vt:lpstr>📋 Raw Data</vt:lpstr>
      <vt:lpstr>📈 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Maharnavar</cp:lastModifiedBy>
  <dcterms:created xsi:type="dcterms:W3CDTF">2026-05-26T08:05:47Z</dcterms:created>
  <dcterms:modified xsi:type="dcterms:W3CDTF">2026-05-26T09:59:58Z</dcterms:modified>
</cp:coreProperties>
</file>